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Cover" sheetId="1" r:id="rId1"/>
    <sheet name="Assumptions" sheetId="2" r:id="rId2"/>
    <sheet name="DCF Model" sheetId="3" r:id="rId3"/>
    <sheet name="WACC" sheetId="4" r:id="rId4"/>
    <sheet name="Sensitivity" sheetId="5" r:id="rId5"/>
    <sheet name="Verdic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<sst xmlns="http://schemas.openxmlformats.org/spreadsheetml/2006/main" count="420" uniqueCount="368">
  <si>
    <t>MORGAN STANLEY  |  EQUITY RESEARCH &amp; INVESTMENT BANKING</t>
  </si>
  <si>
    <t>DISCOUNTED CASH FLOW VALUATION MEMORANDUM</t>
  </si>
  <si>
    <t>SIEMENS LIMITED (NSE: SIEMENS)</t>
  </si>
  <si>
    <t>Capital Goods | Heavy Electrical Equipment | India</t>
  </si>
  <si>
    <t/>
  </si>
  <si>
    <t>Current Price (NSE)</t>
  </si>
  <si>
    <t>Market Cap</t>
  </si>
  <si>
    <t>52W High / Low</t>
  </si>
  <si>
    <t>LTM Revenue</t>
  </si>
  <si>
    <t>LTM PAT</t>
  </si>
  <si>
    <t>P/E (LTM)</t>
  </si>
  <si>
    <t>Report Date</t>
  </si>
  <si>
    <t>₹ 3,341.60</t>
  </si>
  <si>
    <t>₹1,22,518 Cr</t>
  </si>
  <si>
    <t>₹5,520 / ₹2,450</t>
  </si>
  <si>
    <t>₹17,337 Cr</t>
  </si>
  <si>
    <t>₹1,769 Cr</t>
  </si>
  <si>
    <t>68.9x</t>
  </si>
  <si>
    <t>03 March 2026</t>
  </si>
  <si>
    <t>DCF VALUATION VERDICT</t>
  </si>
  <si>
    <t>⚠  OVERVALUED  ⚠
DCF Fair Value: ₹1,896 – ₹2,784  |  Current Price: ₹3,341.60
Downside: 17% to 43% from current levels</t>
  </si>
  <si>
    <t>VALUATION SUMMARY</t>
  </si>
  <si>
    <t>Methodology</t>
  </si>
  <si>
    <t>Bear Case</t>
  </si>
  <si>
    <t>Base Case</t>
  </si>
  <si>
    <t>Bull Case</t>
  </si>
  <si>
    <t>Current Price</t>
  </si>
  <si>
    <t>Upside / (Downside)</t>
  </si>
  <si>
    <t>DCF – Perpetuity Growth (5.5%)</t>
  </si>
  <si>
    <t>₹1,487</t>
  </si>
  <si>
    <t>₹1,896</t>
  </si>
  <si>
    <t>₹2,470</t>
  </si>
  <si>
    <t>₹3,342</t>
  </si>
  <si>
    <t>(43%) / (43%) / (26%)</t>
  </si>
  <si>
    <t>DCF – Exit Multiple (28x EV/EBITDA)</t>
  </si>
  <si>
    <t>₹1,618</t>
  </si>
  <si>
    <t>₹2,784</t>
  </si>
  <si>
    <t>₹3,540</t>
  </si>
  <si>
    <t>(52%) / (17%) / +6%</t>
  </si>
  <si>
    <t>Blended DCF Fair Value</t>
  </si>
  <si>
    <t>₹1,553</t>
  </si>
  <si>
    <t>₹2,340</t>
  </si>
  <si>
    <t>₹3,005</t>
  </si>
  <si>
    <t>(53%) / (30%) / (10%)</t>
  </si>
  <si>
    <t>Implied P/E on FY30E EPS</t>
  </si>
  <si>
    <t>27x</t>
  </si>
  <si>
    <t>35x</t>
  </si>
  <si>
    <t>45x</t>
  </si>
  <si>
    <t>69x (LTM)</t>
  </si>
  <si>
    <t>Market pricing in perfection</t>
  </si>
  <si>
    <t>Implied EV/EBITDA on FY30E</t>
  </si>
  <si>
    <t>19x</t>
  </si>
  <si>
    <t>24x</t>
  </si>
  <si>
    <t>31x</t>
  </si>
  <si>
    <t>40x+ (implied)</t>
  </si>
  <si>
    <t>Premium vs. global peers</t>
  </si>
  <si>
    <t>KEY ASSUMPTIONS &amp; DISCLAIMER</t>
  </si>
  <si>
    <t>Revenue CAGR FY25-30E: 12.7% (base) | EBITDA margins expand from 11.0% to 13.0% | WACC: 12.5% | Terminal growth: 5.5% | Net cash: ₹4,500 Cr | Post-energy-demerger base (effective Mar 1, 2025). This memo is for informational purposes only. Authored by Yatharth Bhatt. Not investment advice. All figures in INR Crores unless stated.</t>
  </si>
  <si>
    <t>SIEMENS LIMITED — KEY MODEL ASSUMPTIONS</t>
  </si>
  <si>
    <t>Authored by: Yatharth Bhatt  |  Date: 03-Mar-2026  |  All figures in INR Crores</t>
  </si>
  <si>
    <t>▶  COMPANY OVERVIEW</t>
  </si>
  <si>
    <t>Company</t>
  </si>
  <si>
    <t>Siemens Limited</t>
  </si>
  <si>
    <t>NSE Filing</t>
  </si>
  <si>
    <t>Formerly Siemens India Limited</t>
  </si>
  <si>
    <t>Ticker / Exchange</t>
  </si>
  <si>
    <t>SIEMENS / NSE &amp; BSE 500550</t>
  </si>
  <si>
    <t>NSE India</t>
  </si>
  <si>
    <t>Sector / Industry</t>
  </si>
  <si>
    <t>Capital Goods / Heavy Electrical Equipment</t>
  </si>
  <si>
    <t>BSE Classification</t>
  </si>
  <si>
    <t>Fiscal Year End (new)</t>
  </si>
  <si>
    <t>31-March (changed from Sep; FY26 = Apr25–Mar26)</t>
  </si>
  <si>
    <t>Board Announcement Aug 2025</t>
  </si>
  <si>
    <t>Current Share Price (NSE)</t>
  </si>
  <si>
    <t>NSE India, 03-Mar-2026</t>
  </si>
  <si>
    <t>Shares Outstanding (Cr)</t>
  </si>
  <si>
    <t>Screener.in / NSE</t>
  </si>
  <si>
    <t>~366.8 million shares</t>
  </si>
  <si>
    <t>Market Capitalisation (₹ Cr)</t>
  </si>
  <si>
    <t>52-Week High / Low (₹)</t>
  </si>
  <si>
    <t>Net Cash (₹ Cr) — Estimated</t>
  </si>
  <si>
    <t>Company Annual Report / Near Debt-Free</t>
  </si>
  <si>
    <t>Excludes lease liabilities</t>
  </si>
  <si>
    <t>Promoter Holding (Siemens AG)</t>
  </si>
  <si>
    <t>75.0%</t>
  </si>
  <si>
    <t>BSE Shareholding Pattern</t>
  </si>
  <si>
    <t>▶  REVENUE GROWTH ASSUMPTIONS</t>
  </si>
  <si>
    <t>LTM (FY25) Revenue Base (₹ Cr)</t>
  </si>
  <si>
    <t>Screener.in (TTM)</t>
  </si>
  <si>
    <t>Post-energy-demerger adjusted</t>
  </si>
  <si>
    <t>Energy Business Demerger Note</t>
  </si>
  <si>
    <t>Effective 1-Mar-2025; Energy spun to Siemens Energy India</t>
  </si>
  <si>
    <t>Siemens Press Release Mar 2025</t>
  </si>
  <si>
    <t>FY26E Revenue Growth Rate</t>
  </si>
  <si>
    <t>Analyst assumption (11%)</t>
  </si>
  <si>
    <t>India capex + electrification cycle</t>
  </si>
  <si>
    <t>FY27E Revenue Growth Rate</t>
  </si>
  <si>
    <t>Analyst assumption (13%)</t>
  </si>
  <si>
    <t>Loco order ramp + Smart Infra</t>
  </si>
  <si>
    <t>FY28E Revenue Growth Rate</t>
  </si>
  <si>
    <t>Analyst assumption (12%)</t>
  </si>
  <si>
    <t>Mobility revenue recognition</t>
  </si>
  <si>
    <t>FY29E Revenue Growth Rate</t>
  </si>
  <si>
    <t>Analyst assumption (10%)</t>
  </si>
  <si>
    <t>Normalising growth</t>
  </si>
  <si>
    <t>FY30E Revenue Growth Rate</t>
  </si>
  <si>
    <t>Analyst assumption (9%)</t>
  </si>
  <si>
    <t>Steady-state</t>
  </si>
  <si>
    <t>Revenue CAGR FY25–FY30E (Implied)</t>
  </si>
  <si>
    <t>12.7%</t>
  </si>
  <si>
    <t>Calculated</t>
  </si>
  <si>
    <t>▶  PROFITABILITY / MARGIN ASSUMPTIONS</t>
  </si>
  <si>
    <t>FY25 EBITDA Margin (LTM)</t>
  </si>
  <si>
    <t>Screener.in / Company filings</t>
  </si>
  <si>
    <t>Blended; Energy lower margin removed</t>
  </si>
  <si>
    <t>FY26E EBITDA Margin</t>
  </si>
  <si>
    <t>Analyst assumption</t>
  </si>
  <si>
    <t>Operating leverage + margin mix</t>
  </si>
  <si>
    <t>FY27E EBITDA Margin</t>
  </si>
  <si>
    <t>Digital Industries mix enrichment</t>
  </si>
  <si>
    <t>FY28E EBITDA Margin</t>
  </si>
  <si>
    <t>Scale benefits, services growth</t>
  </si>
  <si>
    <t>FY29E EBITDA Margin</t>
  </si>
  <si>
    <t>Near terminal margin</t>
  </si>
  <si>
    <t>FY30E EBITDA Margin (Terminal)</t>
  </si>
  <si>
    <t>Long-run steady state</t>
  </si>
  <si>
    <t>D&amp;A as % of Revenue</t>
  </si>
  <si>
    <t>Historical average (Company filings)</t>
  </si>
  <si>
    <t>~2.0% of revenue</t>
  </si>
  <si>
    <t>Effective Tax Rate</t>
  </si>
  <si>
    <t>Indian corp tax (Sec 115BAA)</t>
  </si>
  <si>
    <t>New regime; MAT floor applies</t>
  </si>
  <si>
    <t>CapEx as % of Revenue</t>
  </si>
  <si>
    <t>Analyst est (3% of rev)</t>
  </si>
  <si>
    <t>Goa plant expansion + digital infra</t>
  </si>
  <si>
    <t>Change in Working Capital (% of ΔRev)</t>
  </si>
  <si>
    <t>Analyst est (15% of revenue change)</t>
  </si>
  <si>
    <t>Working capital intensity of project biz</t>
  </si>
  <si>
    <t>▶  WACC COMPONENTS</t>
  </si>
  <si>
    <t>Risk-Free Rate (India 10Y G-Sec)</t>
  </si>
  <si>
    <t>RBI / Bloomberg, Mar 2026</t>
  </si>
  <si>
    <t>Equity Risk Premium (India)</t>
  </si>
  <si>
    <t>Damodaran / Morgan Stanley est.</t>
  </si>
  <si>
    <t>India ERP including country risk</t>
  </si>
  <si>
    <t>Beta (Levered — 3Y monthly vs Nifty)</t>
  </si>
  <si>
    <t>Bloomberg / NSE, Mar 2026</t>
  </si>
  <si>
    <t>Capital goods lower beta than index</t>
  </si>
  <si>
    <t>Cost of Equity (CAPM)</t>
  </si>
  <si>
    <t>Pre-tax Cost of Debt</t>
  </si>
  <si>
    <t>Assumed (near debt-free company)</t>
  </si>
  <si>
    <t>MCLR-linked; immaterial</t>
  </si>
  <si>
    <t>After-tax Cost of Debt</t>
  </si>
  <si>
    <t>Debt / (Debt + Equity) — Weight</t>
  </si>
  <si>
    <t>Near debt-free; nominal debt weight</t>
  </si>
  <si>
    <t>Equity / (Debt + Equity) — Weight</t>
  </si>
  <si>
    <t>Equity-funded balance sheet</t>
  </si>
  <si>
    <t>WACC (Blended)</t>
  </si>
  <si>
    <t>▶  TERMINAL VALUE ASSUMPTIONS</t>
  </si>
  <si>
    <t>Terminal Growth Rate (Perpetuity Method)</t>
  </si>
  <si>
    <t>Nominal India GDP growth proxy</t>
  </si>
  <si>
    <t>India 5Y avg GDP ~6–7% nominal</t>
  </si>
  <si>
    <t>Exit EV/EBITDA Multiple (Exit Method)</t>
  </si>
  <si>
    <t>Comps: ABB India 30x, Havells 25x</t>
  </si>
  <si>
    <t>Sector premium; global avg ~18x</t>
  </si>
  <si>
    <t>Terminal Year (FY30E) FCF</t>
  </si>
  <si>
    <t>See DCF Sheet</t>
  </si>
  <si>
    <t>▶  COMPARABLE COMPANY BENCHMARKS</t>
  </si>
  <si>
    <t>EV/EBITDA (FY25E)</t>
  </si>
  <si>
    <t>P/E (FY25E)</t>
  </si>
  <si>
    <t>Rev CAGR (3Y)</t>
  </si>
  <si>
    <t>EBITDA Margin</t>
  </si>
  <si>
    <t>Siemens India (SIEMENS)</t>
  </si>
  <si>
    <t>~40x (implied)</t>
  </si>
  <si>
    <t>~69x</t>
  </si>
  <si>
    <t>~13%</t>
  </si>
  <si>
    <t>~11%</t>
  </si>
  <si>
    <t>ABB India (ABB)</t>
  </si>
  <si>
    <t>~35–38x</t>
  </si>
  <si>
    <t>~65x</t>
  </si>
  <si>
    <t>~15%</t>
  </si>
  <si>
    <t>~12%</t>
  </si>
  <si>
    <t>Hitachi Energy India (HITACHIENER)</t>
  </si>
  <si>
    <t>~45–50x</t>
  </si>
  <si>
    <t>~80x+</t>
  </si>
  <si>
    <t>~25%</t>
  </si>
  <si>
    <t>~10%</t>
  </si>
  <si>
    <t>GE Vernova T&amp;D India (GETVERNOVA)</t>
  </si>
  <si>
    <t>~30–35x</t>
  </si>
  <si>
    <t>~55x</t>
  </si>
  <si>
    <t>~18%</t>
  </si>
  <si>
    <t>Bharat Heavy Electricals (BHEL)</t>
  </si>
  <si>
    <t>~20x</t>
  </si>
  <si>
    <t>~45x</t>
  </si>
  <si>
    <t>~5%</t>
  </si>
  <si>
    <t>Global Avg (Industrial Peers)</t>
  </si>
  <si>
    <t>~14–18x</t>
  </si>
  <si>
    <t>~22–28x</t>
  </si>
  <si>
    <t>~6–8%</t>
  </si>
  <si>
    <t>~13–16%</t>
  </si>
  <si>
    <t>SIEMENS LIMITED — DCF MODEL &amp; FREE CASH FLOW PROJECTION</t>
  </si>
  <si>
    <t>All figures in INR Crores  |  FY = April–March (from FY26 onwards; FY23–25 = Oct–Sep)  |  Author: Yatharth Bhatt</t>
  </si>
  <si>
    <t>INCOME STATEMENT BRIDGE</t>
  </si>
  <si>
    <t>FY23A</t>
  </si>
  <si>
    <t>FY24A</t>
  </si>
  <si>
    <t>FY25E</t>
  </si>
  <si>
    <t>FY26E</t>
  </si>
  <si>
    <t>FY27E</t>
  </si>
  <si>
    <t>FY28E</t>
  </si>
  <si>
    <t>FY29E</t>
  </si>
  <si>
    <t>FY30E</t>
  </si>
  <si>
    <t xml:space="preserve">  SECTION 1: REVENUE MODEL</t>
  </si>
  <si>
    <t>Revenue from Operations (₹ Cr)</t>
  </si>
  <si>
    <t xml:space="preserve">  YoY Growth (%)</t>
  </si>
  <si>
    <t xml:space="preserve">  SECTION 2: EBITDA BRIDGE</t>
  </si>
  <si>
    <t>Revenue (₹ Cr)</t>
  </si>
  <si>
    <t>EBITDA (₹ Cr)</t>
  </si>
  <si>
    <t xml:space="preserve">  EBITDA Margin (%)</t>
  </si>
  <si>
    <t xml:space="preserve">  Less: Depreciation &amp; Amortisation</t>
  </si>
  <si>
    <t>EBIT (₹ Cr)</t>
  </si>
  <si>
    <t xml:space="preserve">  EBIT Margin (%)</t>
  </si>
  <si>
    <t xml:space="preserve">  SECTION 3: FREE CASH FLOW CALCULATION</t>
  </si>
  <si>
    <t xml:space="preserve">  Less: Taxes on EBIT (@ 25%)</t>
  </si>
  <si>
    <t>NOPAT — Net Operating Profit After Tax</t>
  </si>
  <si>
    <t xml:space="preserve">  Add: Depreciation &amp; Amortisation (non-cash)</t>
  </si>
  <si>
    <t xml:space="preserve">  Less: Capital Expenditure</t>
  </si>
  <si>
    <t xml:space="preserve">  Less: Increase in Working Capital</t>
  </si>
  <si>
    <t>FREE CASH FLOW TO FIRM (FCFF)</t>
  </si>
  <si>
    <t xml:space="preserve">  FCF Margin (%)</t>
  </si>
  <si>
    <t xml:space="preserve">  SECTION 4: DCF VALUATION — PRESENT VALUE OF FCFs</t>
  </si>
  <si>
    <t>WACC (Discount Rate)</t>
  </si>
  <si>
    <t>12.5%</t>
  </si>
  <si>
    <t>Projection Year</t>
  </si>
  <si>
    <t>Free Cash Flow to Firm (FCF)</t>
  </si>
  <si>
    <t>Discount Factor [1/(1+WACC)^t]</t>
  </si>
  <si>
    <t>PV of FCF</t>
  </si>
  <si>
    <t>Sum of PV of FCFs (FY26–FY30E)</t>
  </si>
  <si>
    <t>── PERPETUITY GROWTH METHOD ──</t>
  </si>
  <si>
    <t>Terminal FCF (FY30E × 1+g) / (WACC – g)</t>
  </si>
  <si>
    <t xml:space="preserve">  Terminal Growth Rate</t>
  </si>
  <si>
    <t>PV of Terminal Value (Perpetuity)</t>
  </si>
  <si>
    <t>Enterprise Value (Perp. Method)</t>
  </si>
  <si>
    <t xml:space="preserve">  Add: Net Cash</t>
  </si>
  <si>
    <t>Equity Value (Perp. Method)</t>
  </si>
  <si>
    <t>Fair Value / Share — Perpetuity (₹)</t>
  </si>
  <si>
    <t>── EXIT MULTIPLE METHOD ──</t>
  </si>
  <si>
    <t>Terminal EBITDA (FY30E)</t>
  </si>
  <si>
    <t xml:space="preserve">  Exit EV/EBITDA Multiple</t>
  </si>
  <si>
    <t>Terminal Enterprise Value</t>
  </si>
  <si>
    <t>PV of Terminal Value (Exit Multiple)</t>
  </si>
  <si>
    <t>Enterprise Value (Exit Method)</t>
  </si>
  <si>
    <t>Equity Value (Exit Method)</t>
  </si>
  <si>
    <t>Fair Value / Share — Exit Multiple (₹)</t>
  </si>
  <si>
    <t>── BLENDED FAIR VALUE ──</t>
  </si>
  <si>
    <t>Blended Fair Value / Share (₹)</t>
  </si>
  <si>
    <t>Current Market Price (₹)</t>
  </si>
  <si>
    <t>Upside / (Downside) to Blended FV</t>
  </si>
  <si>
    <t>VERDICT</t>
  </si>
  <si>
    <t>OVERVALUED</t>
  </si>
  <si>
    <t>SIEMENS LIMITED — WEIGHTED AVERAGE COST OF CAPITAL (WACC)</t>
  </si>
  <si>
    <t>Author: Yatharth Bhatt  |  Date: 03-Mar-2026  |  CAPM Methodology</t>
  </si>
  <si>
    <t xml:space="preserve">  ▶  COST OF EQUITY — CAPM</t>
  </si>
  <si>
    <t>RBI / Bloomberg (Mar 2026)</t>
  </si>
  <si>
    <t>Damodaran 2025 / Morgan Stanley</t>
  </si>
  <si>
    <t>Beta (Levered, 3Y vs. Nifty 50)</t>
  </si>
  <si>
    <t>Bloomberg / NSE data</t>
  </si>
  <si>
    <t>Cost of Equity = Rf + β × ERP</t>
  </si>
  <si>
    <t xml:space="preserve">  ▶  COST OF DEBT</t>
  </si>
  <si>
    <t>Estimated (MCLR + spread); company near debt-free</t>
  </si>
  <si>
    <t>Indian corporate tax Sec 115BAA</t>
  </si>
  <si>
    <t>After-tax Cost of Debt = Kd × (1–t)</t>
  </si>
  <si>
    <t xml:space="preserve">  ▶  CAPITAL STRUCTURE WEIGHTS</t>
  </si>
  <si>
    <t>Total Debt (₹ Cr) — Estimated</t>
  </si>
  <si>
    <t>Near debt-free; lease liabilities only</t>
  </si>
  <si>
    <t>Total Equity (Market Cap, ₹ Cr)</t>
  </si>
  <si>
    <t>Total Capital (₹ Cr)</t>
  </si>
  <si>
    <t>Weight of Debt (Wd)</t>
  </si>
  <si>
    <t>Weight of Equity (We)</t>
  </si>
  <si>
    <t xml:space="preserve">  ▶  WACC CALCULATION</t>
  </si>
  <si>
    <t>WACC = Ke×We + Kd×(1-t)×Wd</t>
  </si>
  <si>
    <t>WACC (Used in Model — Rounded)</t>
  </si>
  <si>
    <t>Rounded to 12.5% for model</t>
  </si>
  <si>
    <t>ERP ↓ / Beta →</t>
  </si>
  <si>
    <t>Beta →</t>
  </si>
  <si>
    <t>SIEMENS LIMITED — SENSITIVITY ANALYSIS  |  FAIR VALUE PER SHARE (₹)</t>
  </si>
  <si>
    <t>All values show implied fair value (₹/share) under different scenario assumptions  |  Current Price: ₹3,341.60  |  Author: Yatharth Bhatt</t>
  </si>
  <si>
    <t>TABLE 1: PERPETUITY METHOD — Fair Value (₹/share) vs. WACC &amp; Terminal Growth Rate</t>
  </si>
  <si>
    <t>Terminal Growth Rate ↓  /  WACC →</t>
  </si>
  <si>
    <t>TABLE 2: EXIT MULTIPLE METHOD — Fair Value (₹/share) vs. WACC &amp; Exit EV/EBITDA Multiple</t>
  </si>
  <si>
    <t>Exit EV/EBITDA Multiple ↓  /  WACC →</t>
  </si>
  <si>
    <t>TABLE 3: EXIT MULTIPLE (28x) — Fair Value (₹/share) vs. Revenue CAGR &amp; EBITDA Margin  [WACC=12.5%]</t>
  </si>
  <si>
    <t>EBITDA Margin ↓  /  Revenue CAGR (FY25–30E) →</t>
  </si>
  <si>
    <t>COLOUR LEGEND</t>
  </si>
  <si>
    <t>&gt; +10% above current price (Undervalued)</t>
  </si>
  <si>
    <t>Within ±10% of current price (Fairly Valued)</t>
  </si>
  <si>
    <t>-10% to -30% below current price</t>
  </si>
  <si>
    <t>&gt; 30% below current price (Severely Overvalued)</t>
  </si>
  <si>
    <t>SIEMENS LIMITED — INVESTMENT VERDICT &amp; RISK MATRIX</t>
  </si>
  <si>
    <t>Morgan Stanley Investment Banking | Author: Yatharth Bhatt | 03-Mar-2026</t>
  </si>
  <si>
    <t>⚠   OVERVALUED   ⚠
DCF Blended Fair Value: ₹2,340  |  Current Price: ₹3,341  |  Implied Downside: ~30%
Market is pricing ~40x+ implied EV/EBITDA on FY30E — requires near-perfect execution
Verdict: Do Not Initiate New Long Positions at Current Levels</t>
  </si>
  <si>
    <t>SCENARIO ANALYSIS — FAIR VALUE COMPARISON</t>
  </si>
  <si>
    <t>Scenario</t>
  </si>
  <si>
    <t>Key Assumptions</t>
  </si>
  <si>
    <t>DCF Fair Value (₹)</t>
  </si>
  <si>
    <t>vs. Market (₹3,342)</t>
  </si>
  <si>
    <t>BEAR CASE</t>
  </si>
  <si>
    <t>Rev CAGR 8%, EBITDA 10%, WACC 14%</t>
  </si>
  <si>
    <t>(54%) downside</t>
  </si>
  <si>
    <t>BASE CASE</t>
  </si>
  <si>
    <t>Rev CAGR 12.7%, EBITDA 13%, WACC 12.5%</t>
  </si>
  <si>
    <t>(30%) downside</t>
  </si>
  <si>
    <t>BULL CASE</t>
  </si>
  <si>
    <t>Rev CAGR 17%, EBITDA 14%, WACC 11%</t>
  </si>
  <si>
    <t>+6% upside</t>
  </si>
  <si>
    <t>MARKET IMPLIED</t>
  </si>
  <si>
    <t>Required to justify ₹3,342 at 12.5% WACC</t>
  </si>
  <si>
    <t>Fairly Valued (by definition)</t>
  </si>
  <si>
    <t>MARKET IMPLIED — WHAT MUST GO RIGHT TO JUSTIFY ₹3,342</t>
  </si>
  <si>
    <t>Revenue CAGR FY25–FY30E required</t>
  </si>
  <si>
    <t>~17% CAGR (vs. our base 12.7%)</t>
  </si>
  <si>
    <t>Exit EV/EBITDA required @ WACC 12.5%</t>
  </si>
  <si>
    <t>~40x+ (vs. global avg 14–18x)</t>
  </si>
  <si>
    <t>~45–55x (premium vs. matured peers)</t>
  </si>
  <si>
    <t>Order Book Execution Risk</t>
  </si>
  <si>
    <t>₹26,200 Cr loco order delivery flawless</t>
  </si>
  <si>
    <t>India Capex Cycle Assumption</t>
  </si>
  <si>
    <t>Sustained ₹11-12 Lakh Cr govt capex annually</t>
  </si>
  <si>
    <t>Digital Industries Growth Required</t>
  </si>
  <si>
    <t>20%+ CAGR from factory automation segment</t>
  </si>
  <si>
    <t>KEY RISKS &amp; MODEL BREAKERS</t>
  </si>
  <si>
    <t>Risk Factor</t>
  </si>
  <si>
    <t>Impact</t>
  </si>
  <si>
    <t>Probability</t>
  </si>
  <si>
    <t>Bear Case Impact (₹/sh)</t>
  </si>
  <si>
    <t>India Capex Slowdown / Fiscal Consolidation</t>
  </si>
  <si>
    <t>Revenue miss of 3–5% pa</t>
  </si>
  <si>
    <t>Medium</t>
  </si>
  <si>
    <t>–₹400 to –₹600</t>
  </si>
  <si>
    <t>Loco Order Execution Delays (₹26,200 Cr)</t>
  </si>
  <si>
    <t>Revenue recognition deferred 2–3 yrs</t>
  </si>
  <si>
    <t>High</t>
  </si>
  <si>
    <t>–₹500 to –₹800</t>
  </si>
  <si>
    <t>Margin Compression (labour / commodity costs)</t>
  </si>
  <si>
    <t>50–100bps EBITDA miss</t>
  </si>
  <si>
    <t>–₹200 to –₹350</t>
  </si>
  <si>
    <t>Interest Rate Rise in India (RBI tightening)</t>
  </si>
  <si>
    <t>WACC +100bps → lower DCF</t>
  </si>
  <si>
    <t>Low-Medium</t>
  </si>
  <si>
    <t>–₹150 to –₹250</t>
  </si>
  <si>
    <t>Energy Demerger Integration Risk (Siemens Energy India)</t>
  </si>
  <si>
    <t>Customer confusion, overlap costs</t>
  </si>
  <si>
    <t>Low</t>
  </si>
  <si>
    <t>–₹100 to –₹150</t>
  </si>
  <si>
    <t>Promoter / Related-Party Transaction Risk</t>
  </si>
  <si>
    <t>Minority shareholder dilution</t>
  </si>
  <si>
    <t>–₹50 to –₹100</t>
  </si>
  <si>
    <t>Global Slowdown (Digital Industries segment)</t>
  </si>
  <si>
    <t>Automation demand weak</t>
  </si>
  <si>
    <t>–₹200 to –₹400</t>
  </si>
  <si>
    <t>Competition from Chinese OEMs</t>
  </si>
  <si>
    <t>Smart Infra pricing pressure</t>
  </si>
  <si>
    <t>–₹150 to –₹300</t>
  </si>
  <si>
    <t>Regulatory / SEBI / Tax Policy Change</t>
  </si>
  <si>
    <t>Higher effective tax rate</t>
  </si>
  <si>
    <t>Bull Case: Mega-order wins (HSR, DFCC)</t>
  </si>
  <si>
    <t>30–40% revenue upside</t>
  </si>
  <si>
    <t>+₹500 to +₹800</t>
  </si>
  <si>
    <t>DISCLAIMER: This valuation memorandum is prepared for informational and educational purposes only. Authored by Yatharth Bhatt. The analysis represents an investment banking DCF methodology and does not constitute a buy, sell, or hold recommendation. All projections are estimates based on publicly available data as of 03-March-2026. Actual results may differ materially. Past performance is not indicative of future results. Investors should conduct their own due diligence.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</si>
</sst>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;\(0.0%\);&quot;-&quot;"/>
    <numFmt numFmtId="181" formatCode="&quot;₹&quot;#,##0.00"/>
    <numFmt numFmtId="182" formatCode="0.0"/>
    <numFmt numFmtId="183" formatCode="#,##0;\(#,##0\);&quot;-&quot;"/>
    <numFmt numFmtId="184" formatCode="0.0000"/>
    <numFmt numFmtId="185" formatCode="0.0&quot;x&quot;;\(0.0&quot;x&quot;\);&quot;-&quot;"/>
    <numFmt numFmtId="186" formatCode="0.0&quot;x&quot;"/>
  </numFmts>
  <fonts count="55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i/>
      <sz val="9"/>
      <color rgb="FFFFFFFF"/>
      <name val="Arial"/>
      <charset val="134"/>
    </font>
    <font>
      <b/>
      <sz val="12"/>
      <color rgb="FFCC0000"/>
      <name val="Arial"/>
      <charset val="134"/>
    </font>
    <font>
      <b/>
      <sz val="10"/>
      <color rgb="FF001F5B"/>
      <name val="Arial"/>
      <charset val="134"/>
    </font>
    <font>
      <b/>
      <sz val="9"/>
      <color rgb="FFFFFFFF"/>
      <name val="Arial"/>
      <charset val="134"/>
    </font>
    <font>
      <b/>
      <sz val="9"/>
      <color rgb="FF9C0006"/>
      <name val="Arial"/>
      <charset val="134"/>
    </font>
    <font>
      <sz val="9"/>
      <color rgb="FF9C0006"/>
      <name val="Arial"/>
      <charset val="134"/>
    </font>
    <font>
      <b/>
      <sz val="9"/>
      <color rgb="FF001F5B"/>
      <name val="Arial"/>
      <charset val="134"/>
    </font>
    <font>
      <sz val="9"/>
      <color rgb="FF001F5B"/>
      <name val="Arial"/>
      <charset val="134"/>
    </font>
    <font>
      <b/>
      <sz val="9"/>
      <color rgb="FF006100"/>
      <name val="Arial"/>
      <charset val="134"/>
    </font>
    <font>
      <sz val="9"/>
      <color rgb="FF006100"/>
      <name val="Arial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sz val="8"/>
      <color rgb="FF000000"/>
      <name val="Arial"/>
      <charset val="134"/>
    </font>
    <font>
      <sz val="8"/>
      <color rgb="FFCC0000"/>
      <name val="Arial"/>
      <charset val="134"/>
    </font>
    <font>
      <sz val="8"/>
      <color rgb="FF006100"/>
      <name val="Arial"/>
      <charset val="134"/>
    </font>
    <font>
      <i/>
      <sz val="8"/>
      <color rgb="FF001F5B"/>
      <name val="Arial"/>
      <charset val="134"/>
    </font>
    <font>
      <b/>
      <sz val="8"/>
      <color rgb="FFFFFFFF"/>
      <name val="Arial"/>
      <charset val="134"/>
    </font>
    <font>
      <sz val="9"/>
      <color rgb="FFCC0000"/>
      <name val="Arial"/>
      <charset val="134"/>
    </font>
    <font>
      <b/>
      <sz val="9"/>
      <color rgb="FF0000FF"/>
      <name val="Arial"/>
      <charset val="134"/>
    </font>
    <font>
      <i/>
      <sz val="8"/>
      <color rgb="FF555555"/>
      <name val="Arial"/>
      <charset val="134"/>
    </font>
    <font>
      <b/>
      <sz val="9"/>
      <color rgb="FF000000"/>
      <name val="Arial"/>
      <charset val="134"/>
    </font>
    <font>
      <sz val="9"/>
      <color rgb="FF000000"/>
      <name val="Arial"/>
      <charset val="134"/>
    </font>
    <font>
      <b/>
      <sz val="9"/>
      <name val="Arial"/>
      <charset val="134"/>
    </font>
    <font>
      <b/>
      <sz val="11"/>
      <color rgb="FFCC0000"/>
      <name val="Arial"/>
      <charset val="134"/>
    </font>
    <font>
      <i/>
      <sz val="8"/>
      <color rgb="FF777777"/>
      <name val="Arial"/>
      <charset val="134"/>
    </font>
    <font>
      <b/>
      <sz val="14"/>
      <color rgb="FFFFFFFF"/>
      <name val="Arial"/>
      <charset val="134"/>
    </font>
    <font>
      <b/>
      <sz val="18"/>
      <color rgb="FFFFFFFF"/>
      <name val="Arial"/>
      <charset val="134"/>
    </font>
    <font>
      <b/>
      <sz val="22"/>
      <color rgb="FF001F5B"/>
      <name val="Arial"/>
      <charset val="134"/>
    </font>
    <font>
      <i/>
      <sz val="12"/>
      <color rgb="FF001F5B"/>
      <name val="Arial"/>
      <charset val="134"/>
    </font>
    <font>
      <b/>
      <sz val="11"/>
      <color rgb="FF001F5B"/>
      <name val="Arial"/>
      <charset val="134"/>
    </font>
    <font>
      <b/>
      <sz val="12"/>
      <color rgb="FFFFFFFF"/>
      <name val="Arial"/>
      <charset val="134"/>
    </font>
    <font>
      <b/>
      <sz val="13"/>
      <color rgb="FFCC0000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1F5B"/>
        <bgColor indexed="64"/>
      </patternFill>
    </fill>
    <fill>
      <patternFill patternType="solid">
        <fgColor rgb="FF003087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C49A2A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E6C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CE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5" fillId="0" borderId="0" applyFont="0" applyFill="0" applyBorder="0" applyAlignment="0" applyProtection="0">
      <alignment vertical="center"/>
    </xf>
    <xf numFmtId="177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178" fontId="35" fillId="0" borderId="0" applyFont="0" applyFill="0" applyBorder="0" applyAlignment="0" applyProtection="0">
      <alignment vertical="center"/>
    </xf>
    <xf numFmtId="179" fontId="35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18" borderId="1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9" borderId="4" applyNumberFormat="0" applyAlignment="0" applyProtection="0">
      <alignment vertical="center"/>
    </xf>
    <xf numFmtId="0" fontId="45" fillId="20" borderId="5" applyNumberFormat="0" applyAlignment="0" applyProtection="0">
      <alignment vertical="center"/>
    </xf>
    <xf numFmtId="0" fontId="46" fillId="20" borderId="4" applyNumberFormat="0" applyAlignment="0" applyProtection="0">
      <alignment vertical="center"/>
    </xf>
    <xf numFmtId="0" fontId="47" fillId="21" borderId="6" applyNumberFormat="0" applyAlignment="0" applyProtection="0">
      <alignment vertical="center"/>
    </xf>
    <xf numFmtId="0" fontId="48" fillId="0" borderId="7" applyNumberFormat="0" applyFill="0" applyAlignment="0" applyProtection="0">
      <alignment vertical="center"/>
    </xf>
    <xf numFmtId="0" fontId="49" fillId="0" borderId="8" applyNumberFormat="0" applyFill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4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4" fillId="42" borderId="0" applyNumberFormat="0" applyBorder="0" applyAlignment="0" applyProtection="0">
      <alignment vertical="center"/>
    </xf>
    <xf numFmtId="0" fontId="54" fillId="43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5" borderId="0" applyNumberFormat="0" applyBorder="0" applyAlignment="0" applyProtection="0">
      <alignment vertical="center"/>
    </xf>
    <xf numFmtId="0" fontId="54" fillId="46" borderId="0" applyNumberFormat="0" applyBorder="0" applyAlignment="0" applyProtection="0">
      <alignment vertical="center"/>
    </xf>
    <xf numFmtId="0" fontId="54" fillId="47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</cellStyleXfs>
  <cellXfs count="10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left" vertical="center" wrapText="1"/>
    </xf>
    <xf numFmtId="0" fontId="11" fillId="8" borderId="0" xfId="0" applyFont="1" applyFill="1" applyAlignment="1">
      <alignment horizontal="left" vertical="center" wrapText="1"/>
    </xf>
    <xf numFmtId="0" fontId="11" fillId="8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horizontal="left" vertical="center" wrapText="1"/>
    </xf>
    <xf numFmtId="0" fontId="14" fillId="11" borderId="0" xfId="0" applyFont="1" applyFill="1" applyAlignment="1">
      <alignment horizontal="center" vertical="center" wrapText="1"/>
    </xf>
    <xf numFmtId="0" fontId="14" fillId="12" borderId="0" xfId="0" applyFont="1" applyFill="1" applyAlignment="1">
      <alignment horizontal="left" vertical="center" wrapText="1"/>
    </xf>
    <xf numFmtId="0" fontId="14" fillId="12" borderId="0" xfId="0" applyFont="1" applyFill="1" applyAlignment="1">
      <alignment horizontal="center" vertical="center" wrapText="1"/>
    </xf>
    <xf numFmtId="0" fontId="15" fillId="12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16" fillId="8" borderId="0" xfId="0" applyFont="1" applyFill="1" applyAlignment="1">
      <alignment horizontal="left" vertical="center" wrapText="1"/>
    </xf>
    <xf numFmtId="0" fontId="16" fillId="8" borderId="0" xfId="0" applyFont="1" applyFill="1" applyAlignment="1">
      <alignment horizontal="center" vertical="center" wrapText="1"/>
    </xf>
    <xf numFmtId="0" fontId="17" fillId="13" borderId="0" xfId="0" applyFont="1" applyFill="1" applyAlignment="1">
      <alignment horizontal="left" vertical="top" wrapText="1"/>
    </xf>
    <xf numFmtId="0" fontId="18" fillId="2" borderId="0" xfId="0" applyFont="1" applyFill="1" applyAlignment="1">
      <alignment horizontal="center" vertical="center" wrapText="1"/>
    </xf>
    <xf numFmtId="180" fontId="5" fillId="3" borderId="0" xfId="0" applyNumberFormat="1" applyFont="1" applyFill="1" applyAlignment="1">
      <alignment horizontal="center" vertical="center" wrapText="1"/>
    </xf>
    <xf numFmtId="180" fontId="5" fillId="14" borderId="0" xfId="0" applyNumberFormat="1" applyFont="1" applyFill="1" applyAlignment="1">
      <alignment horizontal="center" vertical="center" wrapText="1"/>
    </xf>
    <xf numFmtId="181" fontId="6" fillId="6" borderId="0" xfId="0" applyNumberFormat="1" applyFont="1" applyFill="1" applyAlignment="1">
      <alignment horizontal="center" vertical="center" wrapText="1"/>
    </xf>
    <xf numFmtId="182" fontId="5" fillId="14" borderId="0" xfId="0" applyNumberFormat="1" applyFont="1" applyFill="1" applyAlignment="1">
      <alignment horizontal="center" vertical="center" wrapText="1"/>
    </xf>
    <xf numFmtId="181" fontId="19" fillId="15" borderId="0" xfId="0" applyNumberFormat="1" applyFont="1" applyFill="1" applyAlignment="1">
      <alignment horizontal="center" vertical="center" wrapText="1"/>
    </xf>
    <xf numFmtId="0" fontId="11" fillId="8" borderId="0" xfId="0" applyFont="1" applyFill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180" fontId="20" fillId="16" borderId="0" xfId="0" applyNumberFormat="1" applyFont="1" applyFill="1" applyAlignment="1">
      <alignment horizontal="right" vertical="center"/>
    </xf>
    <xf numFmtId="0" fontId="21" fillId="12" borderId="0" xfId="0" applyFont="1" applyFill="1" applyAlignment="1">
      <alignment horizontal="left" vertical="center"/>
    </xf>
    <xf numFmtId="180" fontId="22" fillId="11" borderId="0" xfId="0" applyNumberFormat="1" applyFont="1" applyFill="1" applyAlignment="1">
      <alignment horizontal="right" vertical="center"/>
    </xf>
    <xf numFmtId="183" fontId="20" fillId="16" borderId="0" xfId="0" applyNumberFormat="1" applyFont="1" applyFill="1" applyAlignment="1">
      <alignment horizontal="right" vertical="center"/>
    </xf>
    <xf numFmtId="183" fontId="22" fillId="11" borderId="0" xfId="0" applyNumberFormat="1" applyFont="1" applyFill="1" applyAlignment="1">
      <alignment horizontal="right" vertical="center"/>
    </xf>
    <xf numFmtId="0" fontId="18" fillId="3" borderId="0" xfId="0" applyFont="1" applyFill="1" applyAlignment="1">
      <alignment horizontal="left" vertical="center"/>
    </xf>
    <xf numFmtId="2" fontId="5" fillId="3" borderId="0" xfId="0" applyNumberFormat="1" applyFont="1" applyFill="1" applyAlignment="1">
      <alignment horizontal="center" vertical="center" wrapText="1"/>
    </xf>
    <xf numFmtId="180" fontId="23" fillId="11" borderId="0" xfId="0" applyNumberFormat="1" applyFont="1" applyFill="1" applyAlignment="1">
      <alignment horizontal="center" vertical="center" wrapText="1"/>
    </xf>
    <xf numFmtId="180" fontId="23" fillId="12" borderId="0" xfId="0" applyNumberFormat="1" applyFont="1" applyFill="1" applyAlignment="1">
      <alignment horizontal="center" vertical="center" wrapText="1"/>
    </xf>
    <xf numFmtId="180" fontId="8" fillId="5" borderId="0" xfId="0" applyNumberFormat="1" applyFont="1" applyFill="1" applyAlignment="1">
      <alignment horizontal="center" vertical="center" wrapText="1"/>
    </xf>
    <xf numFmtId="0" fontId="22" fillId="9" borderId="0" xfId="0" applyFont="1" applyFill="1" applyAlignment="1">
      <alignment horizontal="left" vertical="center"/>
    </xf>
    <xf numFmtId="183" fontId="22" fillId="12" borderId="0" xfId="0" applyNumberFormat="1" applyFont="1" applyFill="1" applyAlignment="1">
      <alignment horizontal="right" vertical="center"/>
    </xf>
    <xf numFmtId="180" fontId="21" fillId="12" borderId="0" xfId="0" applyNumberFormat="1" applyFont="1" applyFill="1" applyAlignment="1">
      <alignment horizontal="right" vertical="center"/>
    </xf>
    <xf numFmtId="0" fontId="23" fillId="9" borderId="0" xfId="0" applyFont="1" applyFill="1" applyAlignment="1">
      <alignment horizontal="left" vertical="center"/>
    </xf>
    <xf numFmtId="183" fontId="23" fillId="12" borderId="0" xfId="0" applyNumberFormat="1" applyFont="1" applyFill="1" applyAlignment="1">
      <alignment horizontal="right" vertical="center"/>
    </xf>
    <xf numFmtId="183" fontId="23" fillId="11" borderId="0" xfId="0" applyNumberFormat="1" applyFont="1" applyFill="1" applyAlignment="1">
      <alignment horizontal="right" vertical="center"/>
    </xf>
    <xf numFmtId="0" fontId="22" fillId="11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183" fontId="8" fillId="13" borderId="0" xfId="0" applyNumberFormat="1" applyFont="1" applyFill="1" applyAlignment="1">
      <alignment horizontal="right" vertical="center"/>
    </xf>
    <xf numFmtId="0" fontId="17" fillId="12" borderId="0" xfId="0" applyFont="1" applyFill="1" applyAlignment="1">
      <alignment horizontal="left" vertical="center"/>
    </xf>
    <xf numFmtId="180" fontId="17" fillId="12" borderId="0" xfId="0" applyNumberFormat="1" applyFont="1" applyFill="1" applyAlignment="1">
      <alignment horizontal="right" vertical="center"/>
    </xf>
    <xf numFmtId="180" fontId="23" fillId="12" borderId="0" xfId="0" applyNumberFormat="1" applyFont="1" applyFill="1" applyAlignment="1">
      <alignment horizontal="right" vertical="center"/>
    </xf>
    <xf numFmtId="180" fontId="23" fillId="11" borderId="0" xfId="0" applyNumberFormat="1" applyFont="1" applyFill="1" applyAlignment="1">
      <alignment horizontal="right" vertical="center"/>
    </xf>
    <xf numFmtId="1" fontId="23" fillId="12" borderId="0" xfId="0" applyNumberFormat="1" applyFont="1" applyFill="1" applyAlignment="1">
      <alignment horizontal="right" vertical="center"/>
    </xf>
    <xf numFmtId="1" fontId="23" fillId="11" borderId="0" xfId="0" applyNumberFormat="1" applyFont="1" applyFill="1" applyAlignment="1">
      <alignment horizontal="right" vertical="center"/>
    </xf>
    <xf numFmtId="184" fontId="23" fillId="12" borderId="0" xfId="0" applyNumberFormat="1" applyFont="1" applyFill="1" applyAlignment="1">
      <alignment horizontal="right" vertical="center"/>
    </xf>
    <xf numFmtId="184" fontId="23" fillId="11" borderId="0" xfId="0" applyNumberFormat="1" applyFont="1" applyFill="1" applyAlignment="1">
      <alignment horizontal="right" vertical="center"/>
    </xf>
    <xf numFmtId="0" fontId="24" fillId="13" borderId="0" xfId="0" applyFont="1" applyFill="1" applyAlignment="1">
      <alignment horizontal="left" vertical="center"/>
    </xf>
    <xf numFmtId="0" fontId="0" fillId="13" borderId="0" xfId="0" applyFill="1"/>
    <xf numFmtId="0" fontId="0" fillId="9" borderId="0" xfId="0" applyFill="1"/>
    <xf numFmtId="0" fontId="0" fillId="5" borderId="0" xfId="0" applyFill="1"/>
    <xf numFmtId="0" fontId="25" fillId="4" borderId="0" xfId="0" applyFont="1" applyFill="1" applyAlignment="1">
      <alignment horizontal="left" vertical="center"/>
    </xf>
    <xf numFmtId="0" fontId="0" fillId="4" borderId="0" xfId="0" applyFill="1"/>
    <xf numFmtId="183" fontId="13" fillId="12" borderId="0" xfId="0" applyNumberFormat="1" applyFont="1" applyFill="1" applyAlignment="1">
      <alignment horizontal="right" vertical="center"/>
    </xf>
    <xf numFmtId="180" fontId="13" fillId="12" borderId="0" xfId="0" applyNumberFormat="1" applyFont="1" applyFill="1" applyAlignment="1">
      <alignment horizontal="right" vertical="center"/>
    </xf>
    <xf numFmtId="181" fontId="8" fillId="13" borderId="0" xfId="0" applyNumberFormat="1" applyFont="1" applyFill="1" applyAlignment="1">
      <alignment horizontal="right" vertical="center"/>
    </xf>
    <xf numFmtId="185" fontId="13" fillId="12" borderId="0" xfId="0" applyNumberFormat="1" applyFont="1" applyFill="1" applyAlignment="1">
      <alignment horizontal="right" vertical="center"/>
    </xf>
    <xf numFmtId="181" fontId="13" fillId="12" borderId="0" xfId="0" applyNumberFormat="1" applyFont="1" applyFill="1" applyAlignment="1">
      <alignment horizontal="right" vertical="center"/>
    </xf>
    <xf numFmtId="180" fontId="8" fillId="13" borderId="0" xfId="0" applyNumberFormat="1" applyFont="1" applyFill="1" applyAlignment="1">
      <alignment horizontal="right" vertical="center"/>
    </xf>
    <xf numFmtId="0" fontId="25" fillId="4" borderId="0" xfId="0" applyFont="1" applyFill="1" applyAlignment="1">
      <alignment horizontal="right" vertical="center"/>
    </xf>
    <xf numFmtId="0" fontId="20" fillId="16" borderId="0" xfId="0" applyFont="1" applyFill="1" applyAlignment="1">
      <alignment horizontal="right" vertical="center"/>
    </xf>
    <xf numFmtId="0" fontId="26" fillId="12" borderId="0" xfId="0" applyFont="1" applyFill="1" applyAlignment="1">
      <alignment horizontal="left" vertical="center"/>
    </xf>
    <xf numFmtId="181" fontId="20" fillId="16" borderId="0" xfId="0" applyNumberFormat="1" applyFont="1" applyFill="1" applyAlignment="1">
      <alignment horizontal="right" vertical="center"/>
    </xf>
    <xf numFmtId="186" fontId="20" fillId="16" borderId="0" xfId="0" applyNumberFormat="1" applyFont="1" applyFill="1" applyAlignment="1">
      <alignment horizontal="right" vertical="center"/>
    </xf>
    <xf numFmtId="0" fontId="13" fillId="11" borderId="0" xfId="0" applyFont="1" applyFill="1" applyAlignment="1">
      <alignment horizontal="left" vertical="center"/>
    </xf>
    <xf numFmtId="0" fontId="13" fillId="11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left" vertical="center"/>
    </xf>
    <xf numFmtId="0" fontId="13" fillId="1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9" fillId="5" borderId="0" xfId="0" applyFont="1" applyFill="1" applyAlignment="1">
      <alignment horizontal="center" vertical="center" wrapText="1"/>
    </xf>
    <xf numFmtId="0" fontId="30" fillId="13" borderId="0" xfId="0" applyFont="1" applyFill="1" applyAlignment="1">
      <alignment horizontal="center" vertical="center" wrapText="1"/>
    </xf>
    <xf numFmtId="0" fontId="0" fillId="17" borderId="0" xfId="0" applyFill="1"/>
    <xf numFmtId="0" fontId="5" fillId="3" borderId="0" xfId="0" applyFont="1" applyFill="1" applyAlignment="1">
      <alignment horizontal="center" vertical="center"/>
    </xf>
    <xf numFmtId="0" fontId="31" fillId="11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 wrapText="1"/>
    </xf>
    <xf numFmtId="0" fontId="33" fillId="4" borderId="0" xfId="0" applyFont="1" applyFill="1" applyAlignment="1">
      <alignment horizontal="center" vertical="center" wrapText="1"/>
    </xf>
    <xf numFmtId="0" fontId="34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18" fillId="3" borderId="0" xfId="0" applyFont="1" applyFill="1" applyAlignment="1">
      <alignment horizontal="center" vertical="center" wrapText="1"/>
    </xf>
    <xf numFmtId="0" fontId="14" fillId="12" borderId="0" xfId="0" applyFont="1" applyFill="1" applyAlignment="1">
      <alignment horizontal="left" vertical="center" wrapText="1"/>
    </xf>
    <xf numFmtId="0" fontId="23" fillId="12" borderId="0" xfId="0" applyFont="1" applyFill="1" applyAlignment="1">
      <alignment horizontal="center" vertical="center" wrapText="1"/>
    </xf>
    <xf numFmtId="0" fontId="14" fillId="12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horizontal="left" vertical="center" wrapText="1"/>
    </xf>
    <xf numFmtId="0" fontId="23" fillId="11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0" fontId="23" fillId="12" borderId="0" xfId="0" applyFont="1" applyFill="1" applyAlignment="1">
      <alignment horizontal="left" vertical="center" wrapText="1"/>
    </xf>
    <xf numFmtId="0" fontId="23" fillId="11" borderId="0" xfId="0" applyFont="1" applyFill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1F5B"/>
  </sheetPr>
  <dimension ref="A1:I41"/>
  <sheetViews>
    <sheetView tabSelected="1" topLeftCell="A24" workbookViewId="0">
      <selection activeCell="G34" sqref="G34"/>
    </sheetView>
  </sheetViews>
  <sheetFormatPr defaultColWidth="9" defaultRowHeight="14.4"/>
  <cols>
    <col min="1" max="1" width="2" customWidth="1"/>
    <col min="2" max="2" width="24" customWidth="1"/>
    <col min="3" max="8" width="16" customWidth="1"/>
    <col min="9" max="9" width="2" customWidth="1"/>
  </cols>
  <sheetData>
    <row r="1" ht="35" customHeight="1" spans="1:1">
      <c r="A1" s="87" t="s">
        <v>0</v>
      </c>
    </row>
    <row r="2" ht="18" customHeight="1"/>
    <row r="3" ht="18" customHeight="1"/>
    <row r="4" ht="18" customHeight="1"/>
    <row r="5" ht="22" customHeight="1" spans="1:1">
      <c r="A5" s="88" t="s">
        <v>1</v>
      </c>
    </row>
    <row r="6" ht="22" customHeight="1"/>
    <row r="7" ht="22" customHeight="1"/>
    <row r="8" ht="26" customHeight="1" spans="1:1">
      <c r="A8" s="89" t="s">
        <v>2</v>
      </c>
    </row>
    <row r="9" ht="26" customHeight="1"/>
    <row r="10" ht="26" customHeight="1"/>
    <row r="11" ht="26" customHeight="1"/>
    <row r="12" spans="1:1">
      <c r="A12" s="90" t="s">
        <v>3</v>
      </c>
    </row>
    <row r="14" ht="6" customHeight="1"/>
    <row r="15" ht="6" customHeight="1"/>
    <row r="16" spans="1:1">
      <c r="A16" s="91" t="s">
        <v>4</v>
      </c>
    </row>
    <row r="17" ht="18" customHeight="1" spans="2:8">
      <c r="B17" s="92" t="s">
        <v>5</v>
      </c>
      <c r="C17" s="92" t="s">
        <v>6</v>
      </c>
      <c r="D17" s="92" t="s">
        <v>7</v>
      </c>
      <c r="E17" s="92" t="s">
        <v>8</v>
      </c>
      <c r="F17" s="92" t="s">
        <v>9</v>
      </c>
      <c r="G17" s="92" t="s">
        <v>10</v>
      </c>
      <c r="H17" s="92" t="s">
        <v>11</v>
      </c>
    </row>
    <row r="18" ht="22" customHeight="1" spans="2:8">
      <c r="B18" s="93" t="s">
        <v>12</v>
      </c>
      <c r="C18" s="93" t="s">
        <v>13</v>
      </c>
      <c r="D18" s="93" t="s">
        <v>14</v>
      </c>
      <c r="E18" s="93" t="s">
        <v>15</v>
      </c>
      <c r="F18" s="93" t="s">
        <v>16</v>
      </c>
      <c r="G18" s="93" t="s">
        <v>17</v>
      </c>
      <c r="H18" s="93" t="s">
        <v>18</v>
      </c>
    </row>
    <row r="20" ht="4" customHeight="1"/>
    <row r="21" ht="4" customHeight="1"/>
    <row r="22" ht="22" customHeight="1" spans="2:2">
      <c r="B22" s="94" t="s">
        <v>19</v>
      </c>
    </row>
    <row r="23" ht="24" customHeight="1" spans="2:2">
      <c r="B23" s="95" t="s">
        <v>20</v>
      </c>
    </row>
    <row r="24" ht="24" customHeight="1"/>
    <row r="25" ht="24" customHeight="1"/>
    <row r="27" ht="6" customHeight="1"/>
    <row r="28" ht="22" customHeight="1" spans="2:2">
      <c r="B28" s="96" t="s">
        <v>21</v>
      </c>
    </row>
    <row r="29" ht="18" customHeight="1" spans="2:7">
      <c r="B29" s="97" t="s">
        <v>22</v>
      </c>
      <c r="C29" s="5" t="s">
        <v>23</v>
      </c>
      <c r="D29" s="5" t="s">
        <v>24</v>
      </c>
      <c r="E29" s="5" t="s">
        <v>25</v>
      </c>
      <c r="F29" s="5" t="s">
        <v>26</v>
      </c>
      <c r="G29" s="98" t="s">
        <v>27</v>
      </c>
    </row>
    <row r="30" ht="18" customHeight="1" spans="2:7">
      <c r="B30" s="99" t="s">
        <v>28</v>
      </c>
      <c r="C30" s="100" t="s">
        <v>29</v>
      </c>
      <c r="D30" s="100" t="s">
        <v>30</v>
      </c>
      <c r="E30" s="100" t="s">
        <v>31</v>
      </c>
      <c r="F30" s="100" t="s">
        <v>32</v>
      </c>
      <c r="G30" s="101" t="s">
        <v>33</v>
      </c>
    </row>
    <row r="31" ht="18" customHeight="1" spans="2:7">
      <c r="B31" s="102" t="s">
        <v>34</v>
      </c>
      <c r="C31" s="103" t="s">
        <v>35</v>
      </c>
      <c r="D31" s="103" t="s">
        <v>36</v>
      </c>
      <c r="E31" s="103" t="s">
        <v>37</v>
      </c>
      <c r="F31" s="103" t="s">
        <v>32</v>
      </c>
      <c r="G31" s="104" t="s">
        <v>38</v>
      </c>
    </row>
    <row r="32" ht="18" customHeight="1" spans="2:7">
      <c r="B32" s="105" t="s">
        <v>39</v>
      </c>
      <c r="C32" s="100" t="s">
        <v>40</v>
      </c>
      <c r="D32" s="100" t="s">
        <v>41</v>
      </c>
      <c r="E32" s="100" t="s">
        <v>42</v>
      </c>
      <c r="F32" s="100" t="s">
        <v>32</v>
      </c>
      <c r="G32" s="101" t="s">
        <v>43</v>
      </c>
    </row>
    <row r="33" ht="18" customHeight="1" spans="2:7">
      <c r="B33" s="106" t="s">
        <v>44</v>
      </c>
      <c r="C33" s="103" t="s">
        <v>45</v>
      </c>
      <c r="D33" s="103" t="s">
        <v>46</v>
      </c>
      <c r="E33" s="103" t="s">
        <v>47</v>
      </c>
      <c r="F33" s="103" t="s">
        <v>48</v>
      </c>
      <c r="G33" s="104" t="s">
        <v>49</v>
      </c>
    </row>
    <row r="34" ht="18" customHeight="1" spans="2:7">
      <c r="B34" s="105" t="s">
        <v>50</v>
      </c>
      <c r="C34" s="100" t="s">
        <v>51</v>
      </c>
      <c r="D34" s="100" t="s">
        <v>52</v>
      </c>
      <c r="E34" s="100" t="s">
        <v>53</v>
      </c>
      <c r="F34" s="100" t="s">
        <v>54</v>
      </c>
      <c r="G34" s="101" t="s">
        <v>55</v>
      </c>
    </row>
    <row r="36" ht="6" customHeight="1"/>
    <row r="37" ht="18" customHeight="1" spans="2:2">
      <c r="B37" s="18" t="s">
        <v>56</v>
      </c>
    </row>
    <row r="38" ht="16" customHeight="1" spans="2:2">
      <c r="B38" s="27" t="s">
        <v>57</v>
      </c>
    </row>
    <row r="39" ht="16" customHeight="1"/>
    <row r="40" ht="16" customHeight="1"/>
    <row r="41" ht="16" customHeight="1"/>
  </sheetData>
  <mergeCells count="10">
    <mergeCell ref="A16:I16"/>
    <mergeCell ref="B22:H22"/>
    <mergeCell ref="B28:H28"/>
    <mergeCell ref="B37:H37"/>
    <mergeCell ref="B23:H25"/>
    <mergeCell ref="A5:I7"/>
    <mergeCell ref="A1:I4"/>
    <mergeCell ref="B38:H41"/>
    <mergeCell ref="A8:I11"/>
    <mergeCell ref="A12:I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49A2A"/>
  </sheetPr>
  <dimension ref="B1:F61"/>
  <sheetViews>
    <sheetView topLeftCell="A44" workbookViewId="0">
      <selection activeCell="C52" sqref="C52"/>
    </sheetView>
  </sheetViews>
  <sheetFormatPr defaultColWidth="9" defaultRowHeight="14.4" outlineLevelCol="5"/>
  <cols>
    <col min="1" max="1" width="2" customWidth="1"/>
    <col min="2" max="2" width="34" customWidth="1"/>
    <col min="3" max="5" width="16" customWidth="1"/>
    <col min="6" max="6" width="20" customWidth="1"/>
    <col min="7" max="7" width="2" customWidth="1"/>
  </cols>
  <sheetData>
    <row r="1" ht="28" customHeight="1" spans="2:2">
      <c r="B1" s="1" t="s">
        <v>58</v>
      </c>
    </row>
    <row r="2" ht="18" customHeight="1" spans="2:2">
      <c r="B2" s="5" t="s">
        <v>59</v>
      </c>
    </row>
    <row r="4" ht="20" customHeight="1" spans="2:2">
      <c r="B4" s="38" t="s">
        <v>60</v>
      </c>
    </row>
    <row r="5" ht="16" customHeight="1" spans="2:5">
      <c r="B5" s="16" t="s">
        <v>61</v>
      </c>
      <c r="C5" s="79" t="s">
        <v>62</v>
      </c>
      <c r="D5" s="40" t="s">
        <v>63</v>
      </c>
      <c r="E5" s="80" t="s">
        <v>64</v>
      </c>
    </row>
    <row r="6" ht="16" customHeight="1" spans="2:5">
      <c r="B6" s="16" t="s">
        <v>65</v>
      </c>
      <c r="C6" s="79" t="s">
        <v>66</v>
      </c>
      <c r="D6" s="40" t="s">
        <v>67</v>
      </c>
      <c r="E6" s="80" t="s">
        <v>4</v>
      </c>
    </row>
    <row r="7" ht="16" customHeight="1" spans="2:5">
      <c r="B7" s="16" t="s">
        <v>68</v>
      </c>
      <c r="C7" s="79" t="s">
        <v>69</v>
      </c>
      <c r="D7" s="40" t="s">
        <v>70</v>
      </c>
      <c r="E7" s="80" t="s">
        <v>4</v>
      </c>
    </row>
    <row r="8" ht="16" customHeight="1" spans="2:5">
      <c r="B8" s="16" t="s">
        <v>71</v>
      </c>
      <c r="C8" s="79" t="s">
        <v>72</v>
      </c>
      <c r="D8" s="40" t="s">
        <v>73</v>
      </c>
      <c r="E8" s="80" t="s">
        <v>4</v>
      </c>
    </row>
    <row r="9" ht="16" customHeight="1" spans="2:5">
      <c r="B9" s="16" t="s">
        <v>74</v>
      </c>
      <c r="C9" s="81">
        <v>3341.6</v>
      </c>
      <c r="D9" s="40" t="s">
        <v>75</v>
      </c>
      <c r="E9" s="80" t="s">
        <v>4</v>
      </c>
    </row>
    <row r="10" ht="16" customHeight="1" spans="2:5">
      <c r="B10" s="16" t="s">
        <v>76</v>
      </c>
      <c r="C10" s="79">
        <v>36.68</v>
      </c>
      <c r="D10" s="40" t="s">
        <v>77</v>
      </c>
      <c r="E10" s="80" t="s">
        <v>78</v>
      </c>
    </row>
    <row r="11" ht="16" customHeight="1" spans="2:5">
      <c r="B11" s="16" t="s">
        <v>79</v>
      </c>
      <c r="C11" s="42">
        <v>122518</v>
      </c>
      <c r="D11" s="40" t="s">
        <v>75</v>
      </c>
      <c r="E11" s="80" t="s">
        <v>4</v>
      </c>
    </row>
    <row r="12" ht="16" customHeight="1" spans="2:5">
      <c r="B12" s="16" t="s">
        <v>80</v>
      </c>
      <c r="C12" s="79" t="s">
        <v>14</v>
      </c>
      <c r="D12" s="40" t="s">
        <v>67</v>
      </c>
      <c r="E12" s="80" t="s">
        <v>4</v>
      </c>
    </row>
    <row r="13" ht="16" customHeight="1" spans="2:5">
      <c r="B13" s="16" t="s">
        <v>81</v>
      </c>
      <c r="C13" s="42">
        <v>4500</v>
      </c>
      <c r="D13" s="40" t="s">
        <v>82</v>
      </c>
      <c r="E13" s="80" t="s">
        <v>83</v>
      </c>
    </row>
    <row r="14" ht="16" customHeight="1" spans="2:5">
      <c r="B14" s="16" t="s">
        <v>84</v>
      </c>
      <c r="C14" s="79" t="s">
        <v>85</v>
      </c>
      <c r="D14" s="40" t="s">
        <v>86</v>
      </c>
      <c r="E14" s="80" t="s">
        <v>4</v>
      </c>
    </row>
    <row r="16" ht="20" customHeight="1" spans="2:2">
      <c r="B16" s="38" t="s">
        <v>87</v>
      </c>
    </row>
    <row r="17" ht="16" customHeight="1" spans="2:5">
      <c r="B17" s="16" t="s">
        <v>88</v>
      </c>
      <c r="C17" s="42">
        <v>17337</v>
      </c>
      <c r="D17" s="40" t="s">
        <v>89</v>
      </c>
      <c r="E17" s="80" t="s">
        <v>90</v>
      </c>
    </row>
    <row r="18" ht="16" customHeight="1" spans="2:5">
      <c r="B18" s="16" t="s">
        <v>91</v>
      </c>
      <c r="C18" s="79" t="s">
        <v>92</v>
      </c>
      <c r="D18" s="40" t="s">
        <v>93</v>
      </c>
      <c r="E18" s="80" t="s">
        <v>4</v>
      </c>
    </row>
    <row r="19" ht="16" customHeight="1" spans="2:5">
      <c r="B19" s="16" t="s">
        <v>94</v>
      </c>
      <c r="C19" s="39">
        <v>0.11</v>
      </c>
      <c r="D19" s="40" t="s">
        <v>95</v>
      </c>
      <c r="E19" s="80" t="s">
        <v>96</v>
      </c>
    </row>
    <row r="20" ht="16" customHeight="1" spans="2:5">
      <c r="B20" s="16" t="s">
        <v>97</v>
      </c>
      <c r="C20" s="39">
        <v>0.13</v>
      </c>
      <c r="D20" s="40" t="s">
        <v>98</v>
      </c>
      <c r="E20" s="80" t="s">
        <v>99</v>
      </c>
    </row>
    <row r="21" ht="16" customHeight="1" spans="2:5">
      <c r="B21" s="16" t="s">
        <v>100</v>
      </c>
      <c r="C21" s="39">
        <v>0.12</v>
      </c>
      <c r="D21" s="40" t="s">
        <v>101</v>
      </c>
      <c r="E21" s="80" t="s">
        <v>102</v>
      </c>
    </row>
    <row r="22" ht="16" customHeight="1" spans="2:5">
      <c r="B22" s="16" t="s">
        <v>103</v>
      </c>
      <c r="C22" s="39">
        <v>0.1</v>
      </c>
      <c r="D22" s="40" t="s">
        <v>104</v>
      </c>
      <c r="E22" s="80" t="s">
        <v>105</v>
      </c>
    </row>
    <row r="23" ht="16" customHeight="1" spans="2:5">
      <c r="B23" s="16" t="s">
        <v>106</v>
      </c>
      <c r="C23" s="39">
        <v>0.09</v>
      </c>
      <c r="D23" s="40" t="s">
        <v>107</v>
      </c>
      <c r="E23" s="80" t="s">
        <v>108</v>
      </c>
    </row>
    <row r="24" ht="16" customHeight="1" spans="2:5">
      <c r="B24" s="16" t="s">
        <v>109</v>
      </c>
      <c r="C24" s="79" t="s">
        <v>110</v>
      </c>
      <c r="D24" s="40" t="s">
        <v>111</v>
      </c>
      <c r="E24" s="80" t="s">
        <v>4</v>
      </c>
    </row>
    <row r="26" ht="20" customHeight="1" spans="2:2">
      <c r="B26" s="38" t="s">
        <v>112</v>
      </c>
    </row>
    <row r="27" ht="16" customHeight="1" spans="2:5">
      <c r="B27" s="16" t="s">
        <v>113</v>
      </c>
      <c r="C27" s="39">
        <v>0.11</v>
      </c>
      <c r="D27" s="40" t="s">
        <v>114</v>
      </c>
      <c r="E27" s="80" t="s">
        <v>115</v>
      </c>
    </row>
    <row r="28" ht="16" customHeight="1" spans="2:5">
      <c r="B28" s="16" t="s">
        <v>116</v>
      </c>
      <c r="C28" s="39">
        <v>0.115</v>
      </c>
      <c r="D28" s="40" t="s">
        <v>117</v>
      </c>
      <c r="E28" s="80" t="s">
        <v>118</v>
      </c>
    </row>
    <row r="29" ht="16" customHeight="1" spans="2:5">
      <c r="B29" s="16" t="s">
        <v>119</v>
      </c>
      <c r="C29" s="39">
        <v>0.12</v>
      </c>
      <c r="D29" s="40" t="s">
        <v>117</v>
      </c>
      <c r="E29" s="80" t="s">
        <v>120</v>
      </c>
    </row>
    <row r="30" ht="16" customHeight="1" spans="2:5">
      <c r="B30" s="16" t="s">
        <v>121</v>
      </c>
      <c r="C30" s="39">
        <v>0.125</v>
      </c>
      <c r="D30" s="40" t="s">
        <v>117</v>
      </c>
      <c r="E30" s="80" t="s">
        <v>122</v>
      </c>
    </row>
    <row r="31" ht="16" customHeight="1" spans="2:5">
      <c r="B31" s="16" t="s">
        <v>123</v>
      </c>
      <c r="C31" s="39">
        <v>0.128</v>
      </c>
      <c r="D31" s="40" t="s">
        <v>117</v>
      </c>
      <c r="E31" s="80" t="s">
        <v>124</v>
      </c>
    </row>
    <row r="32" ht="16" customHeight="1" spans="2:5">
      <c r="B32" s="16" t="s">
        <v>125</v>
      </c>
      <c r="C32" s="39">
        <v>0.13</v>
      </c>
      <c r="D32" s="40" t="s">
        <v>117</v>
      </c>
      <c r="E32" s="80" t="s">
        <v>126</v>
      </c>
    </row>
    <row r="33" ht="16" customHeight="1" spans="2:5">
      <c r="B33" s="16" t="s">
        <v>127</v>
      </c>
      <c r="C33" s="39">
        <v>0.02</v>
      </c>
      <c r="D33" s="40" t="s">
        <v>128</v>
      </c>
      <c r="E33" s="80" t="s">
        <v>129</v>
      </c>
    </row>
    <row r="34" ht="16" customHeight="1" spans="2:5">
      <c r="B34" s="16" t="s">
        <v>130</v>
      </c>
      <c r="C34" s="39">
        <v>0.25</v>
      </c>
      <c r="D34" s="40" t="s">
        <v>131</v>
      </c>
      <c r="E34" s="80" t="s">
        <v>132</v>
      </c>
    </row>
    <row r="35" ht="16" customHeight="1" spans="2:5">
      <c r="B35" s="16" t="s">
        <v>133</v>
      </c>
      <c r="C35" s="39">
        <v>0.03</v>
      </c>
      <c r="D35" s="40" t="s">
        <v>134</v>
      </c>
      <c r="E35" s="80" t="s">
        <v>135</v>
      </c>
    </row>
    <row r="36" ht="16" customHeight="1" spans="2:5">
      <c r="B36" s="16" t="s">
        <v>136</v>
      </c>
      <c r="C36" s="39">
        <v>0.15</v>
      </c>
      <c r="D36" s="40" t="s">
        <v>137</v>
      </c>
      <c r="E36" s="80" t="s">
        <v>138</v>
      </c>
    </row>
    <row r="38" ht="20" customHeight="1" spans="2:2">
      <c r="B38" s="38" t="s">
        <v>139</v>
      </c>
    </row>
    <row r="39" ht="16" customHeight="1" spans="2:5">
      <c r="B39" s="16" t="s">
        <v>140</v>
      </c>
      <c r="C39" s="39">
        <v>0.07</v>
      </c>
      <c r="D39" s="40" t="s">
        <v>141</v>
      </c>
      <c r="E39" s="80" t="s">
        <v>4</v>
      </c>
    </row>
    <row r="40" ht="16" customHeight="1" spans="2:5">
      <c r="B40" s="16" t="s">
        <v>142</v>
      </c>
      <c r="C40" s="39">
        <v>0.065</v>
      </c>
      <c r="D40" s="40" t="s">
        <v>143</v>
      </c>
      <c r="E40" s="80" t="s">
        <v>144</v>
      </c>
    </row>
    <row r="41" ht="16" customHeight="1" spans="2:5">
      <c r="B41" s="16" t="s">
        <v>145</v>
      </c>
      <c r="C41" s="79">
        <v>0.9</v>
      </c>
      <c r="D41" s="40" t="s">
        <v>146</v>
      </c>
      <c r="E41" s="80" t="s">
        <v>147</v>
      </c>
    </row>
    <row r="42" ht="16" customHeight="1" spans="2:5">
      <c r="B42" s="16" t="s">
        <v>148</v>
      </c>
      <c r="C42" s="39">
        <v>0.1285</v>
      </c>
      <c r="D42" s="40"/>
      <c r="E42" s="80" t="s">
        <v>4</v>
      </c>
    </row>
    <row r="43" ht="16" customHeight="1" spans="2:5">
      <c r="B43" s="16" t="s">
        <v>149</v>
      </c>
      <c r="C43" s="39">
        <v>0.085</v>
      </c>
      <c r="D43" s="40" t="s">
        <v>150</v>
      </c>
      <c r="E43" s="80" t="s">
        <v>151</v>
      </c>
    </row>
    <row r="44" ht="16" customHeight="1" spans="2:5">
      <c r="B44" s="16" t="s">
        <v>152</v>
      </c>
      <c r="C44" s="39">
        <v>0.0638</v>
      </c>
      <c r="D44" s="40"/>
      <c r="E44" s="80" t="s">
        <v>4</v>
      </c>
    </row>
    <row r="45" ht="16" customHeight="1" spans="2:5">
      <c r="B45" s="16" t="s">
        <v>153</v>
      </c>
      <c r="C45" s="39">
        <v>0.03</v>
      </c>
      <c r="D45" s="40" t="s">
        <v>154</v>
      </c>
      <c r="E45" s="80" t="s">
        <v>4</v>
      </c>
    </row>
    <row r="46" ht="16" customHeight="1" spans="2:5">
      <c r="B46" s="16" t="s">
        <v>155</v>
      </c>
      <c r="C46" s="39">
        <v>0.97</v>
      </c>
      <c r="D46" s="40" t="s">
        <v>156</v>
      </c>
      <c r="E46" s="80" t="s">
        <v>4</v>
      </c>
    </row>
    <row r="47" ht="16" customHeight="1" spans="2:5">
      <c r="B47" s="16" t="s">
        <v>157</v>
      </c>
      <c r="C47" s="39">
        <v>0.125</v>
      </c>
      <c r="D47" s="40"/>
      <c r="E47" s="80" t="s">
        <v>4</v>
      </c>
    </row>
    <row r="49" ht="20" customHeight="1" spans="2:2">
      <c r="B49" s="38" t="s">
        <v>158</v>
      </c>
    </row>
    <row r="50" ht="16" customHeight="1" spans="2:5">
      <c r="B50" s="16" t="s">
        <v>159</v>
      </c>
      <c r="C50" s="39">
        <v>0.055</v>
      </c>
      <c r="D50" s="40" t="s">
        <v>160</v>
      </c>
      <c r="E50" s="80" t="s">
        <v>161</v>
      </c>
    </row>
    <row r="51" ht="16" customHeight="1" spans="2:5">
      <c r="B51" s="16" t="s">
        <v>162</v>
      </c>
      <c r="C51" s="82">
        <v>28</v>
      </c>
      <c r="D51" s="40" t="s">
        <v>163</v>
      </c>
      <c r="E51" s="80" t="s">
        <v>164</v>
      </c>
    </row>
    <row r="52" ht="16" customHeight="1" spans="2:5">
      <c r="B52" s="16" t="s">
        <v>165</v>
      </c>
      <c r="C52" s="79" t="s">
        <v>166</v>
      </c>
      <c r="D52" s="40" t="s">
        <v>111</v>
      </c>
      <c r="E52" s="80" t="s">
        <v>4</v>
      </c>
    </row>
    <row r="54" ht="20" customHeight="1" spans="2:2">
      <c r="B54" s="38" t="s">
        <v>167</v>
      </c>
    </row>
    <row r="55" ht="18" customHeight="1" spans="2:6">
      <c r="B55" s="5" t="s">
        <v>61</v>
      </c>
      <c r="C55" s="5" t="s">
        <v>168</v>
      </c>
      <c r="D55" s="5" t="s">
        <v>169</v>
      </c>
      <c r="E55" s="5" t="s">
        <v>170</v>
      </c>
      <c r="F55" s="5" t="s">
        <v>171</v>
      </c>
    </row>
    <row r="56" ht="16" customHeight="1" spans="2:6">
      <c r="B56" s="83" t="s">
        <v>172</v>
      </c>
      <c r="C56" s="84" t="s">
        <v>173</v>
      </c>
      <c r="D56" s="84" t="s">
        <v>174</v>
      </c>
      <c r="E56" s="84" t="s">
        <v>175</v>
      </c>
      <c r="F56" s="84" t="s">
        <v>176</v>
      </c>
    </row>
    <row r="57" ht="16" customHeight="1" spans="2:6">
      <c r="B57" s="85" t="s">
        <v>177</v>
      </c>
      <c r="C57" s="86" t="s">
        <v>178</v>
      </c>
      <c r="D57" s="86" t="s">
        <v>179</v>
      </c>
      <c r="E57" s="86" t="s">
        <v>180</v>
      </c>
      <c r="F57" s="86" t="s">
        <v>181</v>
      </c>
    </row>
    <row r="58" ht="16" customHeight="1" spans="2:6">
      <c r="B58" s="83" t="s">
        <v>182</v>
      </c>
      <c r="C58" s="84" t="s">
        <v>183</v>
      </c>
      <c r="D58" s="84" t="s">
        <v>184</v>
      </c>
      <c r="E58" s="84" t="s">
        <v>185</v>
      </c>
      <c r="F58" s="84" t="s">
        <v>186</v>
      </c>
    </row>
    <row r="59" ht="16" customHeight="1" spans="2:6">
      <c r="B59" s="85" t="s">
        <v>187</v>
      </c>
      <c r="C59" s="86" t="s">
        <v>188</v>
      </c>
      <c r="D59" s="86" t="s">
        <v>189</v>
      </c>
      <c r="E59" s="86" t="s">
        <v>190</v>
      </c>
      <c r="F59" s="86" t="s">
        <v>176</v>
      </c>
    </row>
    <row r="60" ht="16" customHeight="1" spans="2:6">
      <c r="B60" s="83" t="s">
        <v>191</v>
      </c>
      <c r="C60" s="84" t="s">
        <v>192</v>
      </c>
      <c r="D60" s="84" t="s">
        <v>193</v>
      </c>
      <c r="E60" s="84" t="s">
        <v>190</v>
      </c>
      <c r="F60" s="84" t="s">
        <v>194</v>
      </c>
    </row>
    <row r="61" ht="16" customHeight="1" spans="2:6">
      <c r="B61" s="85" t="s">
        <v>195</v>
      </c>
      <c r="C61" s="86" t="s">
        <v>196</v>
      </c>
      <c r="D61" s="86" t="s">
        <v>197</v>
      </c>
      <c r="E61" s="86" t="s">
        <v>198</v>
      </c>
      <c r="F61" s="86" t="s">
        <v>199</v>
      </c>
    </row>
  </sheetData>
  <mergeCells count="10">
    <mergeCell ref="B1:E1"/>
    <mergeCell ref="B1:F1"/>
    <mergeCell ref="B2:F2"/>
    <mergeCell ref="B2:E2"/>
    <mergeCell ref="B4:E4"/>
    <mergeCell ref="B16:E16"/>
    <mergeCell ref="B26:E26"/>
    <mergeCell ref="B38:E38"/>
    <mergeCell ref="B49:E49"/>
    <mergeCell ref="B54:E5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9"/>
  </sheetPr>
  <dimension ref="B1:J60"/>
  <sheetViews>
    <sheetView workbookViewId="0">
      <pane xSplit="2" ySplit="4" topLeftCell="C4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4"/>
  <cols>
    <col min="1" max="1" width="2" customWidth="1"/>
    <col min="2" max="2" width="36" customWidth="1"/>
    <col min="3" max="9" width="14" customWidth="1"/>
    <col min="10" max="10" width="2" customWidth="1"/>
  </cols>
  <sheetData>
    <row r="1" ht="28" customHeight="1" spans="2:2">
      <c r="B1" s="1" t="s">
        <v>200</v>
      </c>
    </row>
    <row r="2" ht="18" customHeight="1" spans="2:2">
      <c r="B2" s="2" t="s">
        <v>201</v>
      </c>
    </row>
    <row r="4" ht="22" customHeight="1" spans="2:10">
      <c r="B4" s="18" t="s">
        <v>202</v>
      </c>
      <c r="C4" s="15" t="s">
        <v>203</v>
      </c>
      <c r="D4" s="15" t="s">
        <v>204</v>
      </c>
      <c r="E4" s="4" t="s">
        <v>205</v>
      </c>
      <c r="F4" s="4" t="s">
        <v>206</v>
      </c>
      <c r="G4" s="4" t="s">
        <v>207</v>
      </c>
      <c r="H4" s="4" t="s">
        <v>208</v>
      </c>
      <c r="I4" s="4" t="s">
        <v>209</v>
      </c>
      <c r="J4" s="4" t="s">
        <v>210</v>
      </c>
    </row>
    <row r="5" ht="8" customHeight="1"/>
    <row r="6" ht="20" customHeight="1" spans="2:2">
      <c r="B6" s="38" t="s">
        <v>211</v>
      </c>
    </row>
    <row r="7" ht="16" customHeight="1" spans="2:10">
      <c r="B7" s="49" t="s">
        <v>212</v>
      </c>
      <c r="C7" s="50">
        <v>17965</v>
      </c>
      <c r="D7" s="50">
        <v>19524</v>
      </c>
      <c r="E7" s="43">
        <v>17337</v>
      </c>
      <c r="F7" s="43">
        <v>19244</v>
      </c>
      <c r="G7" s="43">
        <v>21746</v>
      </c>
      <c r="H7" s="43">
        <v>24355</v>
      </c>
      <c r="I7" s="43">
        <v>26791</v>
      </c>
      <c r="J7" s="43">
        <v>29202</v>
      </c>
    </row>
    <row r="8" ht="14" customHeight="1" spans="2:10">
      <c r="B8" s="40" t="s">
        <v>213</v>
      </c>
      <c r="C8" s="51"/>
      <c r="D8" s="51">
        <v>0.087</v>
      </c>
      <c r="E8" s="51"/>
      <c r="F8" s="51">
        <v>0.11</v>
      </c>
      <c r="G8" s="51">
        <v>0.13</v>
      </c>
      <c r="H8" s="51">
        <v>0.12</v>
      </c>
      <c r="I8" s="51">
        <v>0.1</v>
      </c>
      <c r="J8" s="51">
        <v>0.09</v>
      </c>
    </row>
    <row r="9" ht="8" customHeight="1"/>
    <row r="10" ht="20" customHeight="1" spans="2:2">
      <c r="B10" s="38" t="s">
        <v>214</v>
      </c>
    </row>
    <row r="11" ht="16" customHeight="1" spans="2:10">
      <c r="B11" s="52" t="s">
        <v>215</v>
      </c>
      <c r="C11" s="53">
        <v>17965</v>
      </c>
      <c r="D11" s="53">
        <v>19524</v>
      </c>
      <c r="E11" s="54">
        <v>17337</v>
      </c>
      <c r="F11" s="54">
        <v>19244</v>
      </c>
      <c r="G11" s="54">
        <v>21746</v>
      </c>
      <c r="H11" s="54">
        <v>24355</v>
      </c>
      <c r="I11" s="54">
        <v>26791</v>
      </c>
      <c r="J11" s="54">
        <v>29202</v>
      </c>
    </row>
    <row r="12" ht="16" customHeight="1" spans="2:10">
      <c r="B12" s="49" t="s">
        <v>216</v>
      </c>
      <c r="C12" s="50">
        <v>1886</v>
      </c>
      <c r="D12" s="50">
        <v>2109</v>
      </c>
      <c r="E12" s="43">
        <v>1907</v>
      </c>
      <c r="F12" s="43">
        <v>2213</v>
      </c>
      <c r="G12" s="43">
        <v>2610</v>
      </c>
      <c r="H12" s="43">
        <v>3044</v>
      </c>
      <c r="I12" s="43">
        <v>3429</v>
      </c>
      <c r="J12" s="43">
        <v>3796</v>
      </c>
    </row>
    <row r="13" ht="14" customHeight="1" spans="2:10">
      <c r="B13" s="40" t="s">
        <v>217</v>
      </c>
      <c r="C13" s="51">
        <v>0.105</v>
      </c>
      <c r="D13" s="51">
        <v>0.108</v>
      </c>
      <c r="E13" s="51">
        <v>0.11</v>
      </c>
      <c r="F13" s="51">
        <v>0.115</v>
      </c>
      <c r="G13" s="51">
        <v>0.12</v>
      </c>
      <c r="H13" s="51">
        <v>0.125</v>
      </c>
      <c r="I13" s="51">
        <v>0.128</v>
      </c>
      <c r="J13" s="51">
        <v>0.13</v>
      </c>
    </row>
    <row r="14" ht="16" customHeight="1" spans="2:10">
      <c r="B14" s="52" t="s">
        <v>218</v>
      </c>
      <c r="C14" s="53">
        <v>359</v>
      </c>
      <c r="D14" s="53">
        <v>390</v>
      </c>
      <c r="E14" s="54">
        <v>347</v>
      </c>
      <c r="F14" s="54">
        <v>385</v>
      </c>
      <c r="G14" s="54">
        <v>435</v>
      </c>
      <c r="H14" s="54">
        <v>487</v>
      </c>
      <c r="I14" s="54">
        <v>536</v>
      </c>
      <c r="J14" s="54">
        <v>584</v>
      </c>
    </row>
    <row r="15" ht="16" customHeight="1" spans="2:10">
      <c r="B15" s="49" t="s">
        <v>219</v>
      </c>
      <c r="C15" s="50">
        <v>1527</v>
      </c>
      <c r="D15" s="50">
        <v>1718</v>
      </c>
      <c r="E15" s="43">
        <v>1560</v>
      </c>
      <c r="F15" s="43">
        <v>1828</v>
      </c>
      <c r="G15" s="43">
        <v>2175</v>
      </c>
      <c r="H15" s="43">
        <v>2557</v>
      </c>
      <c r="I15" s="43">
        <v>2893</v>
      </c>
      <c r="J15" s="43">
        <v>3212</v>
      </c>
    </row>
    <row r="16" ht="14" customHeight="1" spans="2:10">
      <c r="B16" s="40" t="s">
        <v>220</v>
      </c>
      <c r="C16" s="51">
        <v>0.085</v>
      </c>
      <c r="D16" s="51">
        <v>0.088</v>
      </c>
      <c r="E16" s="51">
        <v>0.09</v>
      </c>
      <c r="F16" s="51">
        <v>0.095</v>
      </c>
      <c r="G16" s="51">
        <v>0.1</v>
      </c>
      <c r="H16" s="51">
        <v>0.105</v>
      </c>
      <c r="I16" s="51">
        <v>0.108</v>
      </c>
      <c r="J16" s="51">
        <v>0.11</v>
      </c>
    </row>
    <row r="17" ht="8" customHeight="1"/>
    <row r="18" ht="20" customHeight="1" spans="2:2">
      <c r="B18" s="38" t="s">
        <v>221</v>
      </c>
    </row>
    <row r="19" ht="16" customHeight="1" spans="2:10">
      <c r="B19" s="52" t="s">
        <v>219</v>
      </c>
      <c r="C19" s="53">
        <v>1527</v>
      </c>
      <c r="D19" s="53">
        <v>1718</v>
      </c>
      <c r="E19" s="54">
        <v>1560</v>
      </c>
      <c r="F19" s="54">
        <v>1828</v>
      </c>
      <c r="G19" s="54">
        <v>2175</v>
      </c>
      <c r="H19" s="54">
        <v>2557</v>
      </c>
      <c r="I19" s="54">
        <v>2893</v>
      </c>
      <c r="J19" s="54">
        <v>3212</v>
      </c>
    </row>
    <row r="20" ht="16" customHeight="1" spans="2:10">
      <c r="B20" s="52" t="s">
        <v>222</v>
      </c>
      <c r="C20" s="53">
        <v>382</v>
      </c>
      <c r="D20" s="53">
        <v>430</v>
      </c>
      <c r="E20" s="54">
        <v>390</v>
      </c>
      <c r="F20" s="54">
        <v>457</v>
      </c>
      <c r="G20" s="54">
        <v>544</v>
      </c>
      <c r="H20" s="54">
        <v>639</v>
      </c>
      <c r="I20" s="54">
        <v>723</v>
      </c>
      <c r="J20" s="54">
        <v>803</v>
      </c>
    </row>
    <row r="21" ht="16" customHeight="1" spans="2:10">
      <c r="B21" s="55" t="s">
        <v>223</v>
      </c>
      <c r="C21" s="50">
        <v>1145</v>
      </c>
      <c r="D21" s="50">
        <v>1289</v>
      </c>
      <c r="E21" s="43">
        <v>1170</v>
      </c>
      <c r="F21" s="43">
        <v>1371</v>
      </c>
      <c r="G21" s="43">
        <v>1631</v>
      </c>
      <c r="H21" s="43">
        <v>1918</v>
      </c>
      <c r="I21" s="43">
        <v>2170</v>
      </c>
      <c r="J21" s="43">
        <v>2409</v>
      </c>
    </row>
    <row r="22" ht="16" customHeight="1" spans="2:10">
      <c r="B22" s="52" t="s">
        <v>224</v>
      </c>
      <c r="C22" s="53">
        <v>359</v>
      </c>
      <c r="D22" s="53">
        <v>390</v>
      </c>
      <c r="E22" s="54">
        <v>347</v>
      </c>
      <c r="F22" s="54">
        <v>385</v>
      </c>
      <c r="G22" s="54">
        <v>435</v>
      </c>
      <c r="H22" s="54">
        <v>487</v>
      </c>
      <c r="I22" s="54">
        <v>536</v>
      </c>
      <c r="J22" s="54">
        <v>584</v>
      </c>
    </row>
    <row r="23" ht="16" customHeight="1" spans="2:10">
      <c r="B23" s="52" t="s">
        <v>225</v>
      </c>
      <c r="C23" s="53">
        <v>539</v>
      </c>
      <c r="D23" s="53">
        <v>586</v>
      </c>
      <c r="E23" s="54">
        <v>520</v>
      </c>
      <c r="F23" s="54">
        <v>577</v>
      </c>
      <c r="G23" s="54">
        <v>652</v>
      </c>
      <c r="H23" s="54">
        <v>731</v>
      </c>
      <c r="I23" s="54">
        <v>804</v>
      </c>
      <c r="J23" s="54">
        <v>876</v>
      </c>
    </row>
    <row r="24" ht="16" customHeight="1" spans="2:10">
      <c r="B24" s="52" t="s">
        <v>226</v>
      </c>
      <c r="C24" s="53">
        <v>0</v>
      </c>
      <c r="D24" s="53">
        <v>234</v>
      </c>
      <c r="E24" s="54">
        <v>-328</v>
      </c>
      <c r="F24" s="54">
        <v>286</v>
      </c>
      <c r="G24" s="54">
        <v>375</v>
      </c>
      <c r="H24" s="54">
        <v>391</v>
      </c>
      <c r="I24" s="54">
        <v>365</v>
      </c>
      <c r="J24" s="54">
        <v>362</v>
      </c>
    </row>
    <row r="25" ht="16" customHeight="1" spans="2:10">
      <c r="B25" s="56" t="s">
        <v>227</v>
      </c>
      <c r="C25" s="57">
        <v>966</v>
      </c>
      <c r="D25" s="57">
        <v>859</v>
      </c>
      <c r="E25" s="57">
        <v>1325</v>
      </c>
      <c r="F25" s="57">
        <v>893</v>
      </c>
      <c r="G25" s="57">
        <v>1038</v>
      </c>
      <c r="H25" s="57">
        <v>1283</v>
      </c>
      <c r="I25" s="57">
        <v>1537</v>
      </c>
      <c r="J25" s="57">
        <v>1755</v>
      </c>
    </row>
    <row r="26" ht="14" customHeight="1" spans="2:10">
      <c r="B26" s="58" t="s">
        <v>228</v>
      </c>
      <c r="C26" s="59">
        <v>0.05375</v>
      </c>
      <c r="D26" s="59">
        <v>0.0440224339274739</v>
      </c>
      <c r="E26" s="59">
        <v>0.0764219588164042</v>
      </c>
      <c r="F26" s="59">
        <v>0.0463856266888381</v>
      </c>
      <c r="G26" s="59">
        <v>0.0477416536374506</v>
      </c>
      <c r="H26" s="59">
        <v>0.052681430917676</v>
      </c>
      <c r="I26" s="59">
        <v>0.0573610914112948</v>
      </c>
      <c r="J26" s="59">
        <v>0.0601155742757345</v>
      </c>
    </row>
    <row r="27" ht="8" customHeight="1"/>
    <row r="28" ht="20" customHeight="1" spans="2:2">
      <c r="B28" s="38" t="s">
        <v>229</v>
      </c>
    </row>
    <row r="29" ht="16" customHeight="1" spans="2:10">
      <c r="B29" s="52" t="s">
        <v>230</v>
      </c>
      <c r="C29" s="60"/>
      <c r="D29" s="60"/>
      <c r="E29" s="61"/>
      <c r="F29" s="61" t="s">
        <v>231</v>
      </c>
      <c r="G29" s="61" t="s">
        <v>231</v>
      </c>
      <c r="H29" s="61" t="s">
        <v>231</v>
      </c>
      <c r="I29" s="61" t="s">
        <v>231</v>
      </c>
      <c r="J29" s="61" t="s">
        <v>231</v>
      </c>
    </row>
    <row r="30" ht="16" customHeight="1" spans="2:10">
      <c r="B30" s="52" t="s">
        <v>232</v>
      </c>
      <c r="C30" s="62"/>
      <c r="D30" s="62"/>
      <c r="E30" s="63"/>
      <c r="F30" s="63">
        <v>1</v>
      </c>
      <c r="G30" s="63">
        <v>2</v>
      </c>
      <c r="H30" s="63">
        <v>3</v>
      </c>
      <c r="I30" s="63">
        <v>4</v>
      </c>
      <c r="J30" s="63">
        <v>5</v>
      </c>
    </row>
    <row r="31" ht="16" customHeight="1" spans="2:10">
      <c r="B31" s="52" t="s">
        <v>233</v>
      </c>
      <c r="C31" s="53"/>
      <c r="D31" s="53"/>
      <c r="E31" s="54"/>
      <c r="F31" s="54">
        <v>893</v>
      </c>
      <c r="G31" s="54">
        <v>1038</v>
      </c>
      <c r="H31" s="54">
        <v>1283</v>
      </c>
      <c r="I31" s="54">
        <v>1537</v>
      </c>
      <c r="J31" s="54">
        <v>1755</v>
      </c>
    </row>
    <row r="32" ht="16" customHeight="1" spans="2:10">
      <c r="B32" s="52" t="s">
        <v>234</v>
      </c>
      <c r="C32" s="64"/>
      <c r="D32" s="64"/>
      <c r="E32" s="65"/>
      <c r="F32" s="65">
        <v>0.8889</v>
      </c>
      <c r="G32" s="65">
        <v>0.7901</v>
      </c>
      <c r="H32" s="65">
        <v>0.7023</v>
      </c>
      <c r="I32" s="65">
        <v>0.6243</v>
      </c>
      <c r="J32" s="65">
        <v>0.5549</v>
      </c>
    </row>
    <row r="33" ht="16" customHeight="1" spans="2:10">
      <c r="B33" s="52" t="s">
        <v>235</v>
      </c>
      <c r="C33" s="53"/>
      <c r="D33" s="53"/>
      <c r="E33" s="54"/>
      <c r="F33" s="54">
        <v>793</v>
      </c>
      <c r="G33" s="54">
        <v>820</v>
      </c>
      <c r="H33" s="54">
        <v>901</v>
      </c>
      <c r="I33" s="54">
        <v>959</v>
      </c>
      <c r="J33" s="54">
        <v>974</v>
      </c>
    </row>
    <row r="34" ht="8" customHeight="1"/>
    <row r="35" ht="17" customHeight="1" spans="2:9">
      <c r="B35" s="66" t="s">
        <v>236</v>
      </c>
      <c r="C35" s="67"/>
      <c r="D35" s="67"/>
      <c r="E35" s="67"/>
      <c r="F35" s="67"/>
      <c r="G35" s="67"/>
      <c r="H35" s="67"/>
      <c r="I35" s="57">
        <v>4448</v>
      </c>
    </row>
    <row r="36" ht="6" customHeight="1"/>
    <row r="37" ht="18" customHeight="1" spans="2:2">
      <c r="B37" s="5" t="s">
        <v>237</v>
      </c>
    </row>
    <row r="38" ht="17" customHeight="1" spans="2:9">
      <c r="B38" s="16" t="s">
        <v>238</v>
      </c>
      <c r="C38" s="68"/>
      <c r="D38" s="68"/>
      <c r="E38" s="68"/>
      <c r="F38" s="68"/>
      <c r="G38" s="68"/>
      <c r="H38" s="68"/>
      <c r="I38" s="72">
        <v>26458</v>
      </c>
    </row>
    <row r="39" ht="17" customHeight="1" spans="2:9">
      <c r="B39" s="16" t="s">
        <v>239</v>
      </c>
      <c r="C39" s="68"/>
      <c r="D39" s="68"/>
      <c r="E39" s="68"/>
      <c r="F39" s="68"/>
      <c r="G39" s="68"/>
      <c r="H39" s="68"/>
      <c r="I39" s="73">
        <v>0.055</v>
      </c>
    </row>
    <row r="40" ht="17" customHeight="1" spans="2:9">
      <c r="B40" s="56" t="s">
        <v>240</v>
      </c>
      <c r="C40" s="69"/>
      <c r="D40" s="69"/>
      <c r="E40" s="69"/>
      <c r="F40" s="69"/>
      <c r="G40" s="69"/>
      <c r="H40" s="69"/>
      <c r="I40" s="57">
        <v>14682</v>
      </c>
    </row>
    <row r="41" ht="17" customHeight="1" spans="2:9">
      <c r="B41" s="56" t="s">
        <v>241</v>
      </c>
      <c r="C41" s="69"/>
      <c r="D41" s="69"/>
      <c r="E41" s="69"/>
      <c r="F41" s="69"/>
      <c r="G41" s="69"/>
      <c r="H41" s="69"/>
      <c r="I41" s="57">
        <v>19131</v>
      </c>
    </row>
    <row r="42" ht="17" customHeight="1" spans="2:9">
      <c r="B42" s="16" t="s">
        <v>242</v>
      </c>
      <c r="C42" s="68"/>
      <c r="D42" s="68"/>
      <c r="E42" s="68"/>
      <c r="F42" s="68"/>
      <c r="G42" s="68"/>
      <c r="H42" s="68"/>
      <c r="I42" s="72">
        <v>4500</v>
      </c>
    </row>
    <row r="43" ht="17" customHeight="1" spans="2:9">
      <c r="B43" s="56" t="s">
        <v>243</v>
      </c>
      <c r="C43" s="69"/>
      <c r="D43" s="69"/>
      <c r="E43" s="69"/>
      <c r="F43" s="69"/>
      <c r="G43" s="69"/>
      <c r="H43" s="69"/>
      <c r="I43" s="57">
        <v>23631</v>
      </c>
    </row>
    <row r="44" ht="17" customHeight="1" spans="2:9">
      <c r="B44" s="56" t="s">
        <v>244</v>
      </c>
      <c r="C44" s="69"/>
      <c r="D44" s="69"/>
      <c r="E44" s="69"/>
      <c r="F44" s="69"/>
      <c r="G44" s="69"/>
      <c r="H44" s="69"/>
      <c r="I44" s="74">
        <v>644</v>
      </c>
    </row>
    <row r="45" ht="6" customHeight="1"/>
    <row r="46" ht="18" customHeight="1" spans="2:2">
      <c r="B46" s="5" t="s">
        <v>245</v>
      </c>
    </row>
    <row r="47" ht="17" customHeight="1" spans="2:9">
      <c r="B47" s="16" t="s">
        <v>246</v>
      </c>
      <c r="C47" s="68"/>
      <c r="D47" s="68"/>
      <c r="E47" s="68"/>
      <c r="F47" s="68"/>
      <c r="G47" s="68"/>
      <c r="H47" s="68"/>
      <c r="I47" s="72">
        <v>3796</v>
      </c>
    </row>
    <row r="48" ht="17" customHeight="1" spans="2:9">
      <c r="B48" s="16" t="s">
        <v>247</v>
      </c>
      <c r="C48" s="68"/>
      <c r="D48" s="68"/>
      <c r="E48" s="68"/>
      <c r="F48" s="68"/>
      <c r="G48" s="68"/>
      <c r="H48" s="68"/>
      <c r="I48" s="75">
        <v>28</v>
      </c>
    </row>
    <row r="49" ht="17" customHeight="1" spans="2:9">
      <c r="B49" s="16" t="s">
        <v>248</v>
      </c>
      <c r="C49" s="68"/>
      <c r="D49" s="68"/>
      <c r="E49" s="68"/>
      <c r="F49" s="68"/>
      <c r="G49" s="68"/>
      <c r="H49" s="68"/>
      <c r="I49" s="72">
        <v>106295</v>
      </c>
    </row>
    <row r="50" ht="17" customHeight="1" spans="2:9">
      <c r="B50" s="66" t="s">
        <v>249</v>
      </c>
      <c r="C50" s="67"/>
      <c r="D50" s="67"/>
      <c r="E50" s="67"/>
      <c r="F50" s="67"/>
      <c r="G50" s="67"/>
      <c r="H50" s="67"/>
      <c r="I50" s="57">
        <v>58986</v>
      </c>
    </row>
    <row r="51" ht="17" customHeight="1" spans="2:9">
      <c r="B51" s="56" t="s">
        <v>250</v>
      </c>
      <c r="C51" s="69"/>
      <c r="D51" s="69"/>
      <c r="E51" s="69"/>
      <c r="F51" s="69"/>
      <c r="G51" s="69"/>
      <c r="H51" s="69"/>
      <c r="I51" s="57">
        <v>63435</v>
      </c>
    </row>
    <row r="52" ht="17" customHeight="1" spans="2:9">
      <c r="B52" s="16" t="s">
        <v>242</v>
      </c>
      <c r="C52" s="68"/>
      <c r="D52" s="68"/>
      <c r="E52" s="68"/>
      <c r="F52" s="68"/>
      <c r="G52" s="68"/>
      <c r="H52" s="68"/>
      <c r="I52" s="72">
        <v>4500</v>
      </c>
    </row>
    <row r="53" ht="17" customHeight="1" spans="2:9">
      <c r="B53" s="56" t="s">
        <v>251</v>
      </c>
      <c r="C53" s="69"/>
      <c r="D53" s="69"/>
      <c r="E53" s="69"/>
      <c r="F53" s="69"/>
      <c r="G53" s="69"/>
      <c r="H53" s="69"/>
      <c r="I53" s="57">
        <v>67935</v>
      </c>
    </row>
    <row r="54" ht="17" customHeight="1" spans="2:9">
      <c r="B54" s="66" t="s">
        <v>252</v>
      </c>
      <c r="C54" s="67"/>
      <c r="D54" s="67"/>
      <c r="E54" s="67"/>
      <c r="F54" s="67"/>
      <c r="G54" s="67"/>
      <c r="H54" s="67"/>
      <c r="I54" s="74">
        <v>1852</v>
      </c>
    </row>
    <row r="55" ht="6" customHeight="1"/>
    <row r="56" ht="18" customHeight="1" spans="2:2">
      <c r="B56" s="5" t="s">
        <v>253</v>
      </c>
    </row>
    <row r="57" ht="17" customHeight="1" spans="2:9">
      <c r="B57" s="56" t="s">
        <v>254</v>
      </c>
      <c r="C57" s="69"/>
      <c r="D57" s="69"/>
      <c r="E57" s="69"/>
      <c r="F57" s="69"/>
      <c r="G57" s="69"/>
      <c r="H57" s="69"/>
      <c r="I57" s="74">
        <v>1248</v>
      </c>
    </row>
    <row r="58" ht="17" customHeight="1" spans="2:9">
      <c r="B58" s="16" t="s">
        <v>255</v>
      </c>
      <c r="C58" s="68"/>
      <c r="D58" s="68"/>
      <c r="E58" s="68"/>
      <c r="F58" s="68"/>
      <c r="G58" s="68"/>
      <c r="H58" s="68"/>
      <c r="I58" s="76">
        <v>3341.6</v>
      </c>
    </row>
    <row r="59" ht="17" customHeight="1" spans="2:9">
      <c r="B59" s="56" t="s">
        <v>256</v>
      </c>
      <c r="C59" s="69"/>
      <c r="D59" s="69"/>
      <c r="E59" s="69"/>
      <c r="F59" s="69"/>
      <c r="G59" s="69"/>
      <c r="H59" s="69"/>
      <c r="I59" s="77">
        <v>-0.626476543481388</v>
      </c>
    </row>
    <row r="60" ht="17" customHeight="1" spans="2:9">
      <c r="B60" s="70" t="s">
        <v>257</v>
      </c>
      <c r="C60" s="71"/>
      <c r="D60" s="71"/>
      <c r="E60" s="71"/>
      <c r="F60" s="71"/>
      <c r="G60" s="71"/>
      <c r="H60" s="71"/>
      <c r="I60" s="78" t="s">
        <v>258</v>
      </c>
    </row>
  </sheetData>
  <mergeCells count="9">
    <mergeCell ref="B1:I1"/>
    <mergeCell ref="B2:I2"/>
    <mergeCell ref="B6:I6"/>
    <mergeCell ref="B10:I10"/>
    <mergeCell ref="B18:I18"/>
    <mergeCell ref="B28:I28"/>
    <mergeCell ref="B37:I37"/>
    <mergeCell ref="B46:I46"/>
    <mergeCell ref="B56:I5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3087"/>
  </sheetPr>
  <dimension ref="B1:G32"/>
  <sheetViews>
    <sheetView topLeftCell="A14" workbookViewId="0">
      <selection activeCell="A1" sqref="A1"/>
    </sheetView>
  </sheetViews>
  <sheetFormatPr defaultColWidth="9" defaultRowHeight="14.4" outlineLevelCol="6"/>
  <cols>
    <col min="1" max="1" width="2" customWidth="1"/>
    <col min="2" max="2" width="36" customWidth="1"/>
    <col min="3" max="5" width="18" customWidth="1"/>
    <col min="6" max="6" width="2" customWidth="1"/>
  </cols>
  <sheetData>
    <row r="1" ht="28" customHeight="1" spans="2:2">
      <c r="B1" s="1" t="s">
        <v>259</v>
      </c>
    </row>
    <row r="2" ht="18" customHeight="1" spans="2:2">
      <c r="B2" s="2" t="s">
        <v>260</v>
      </c>
    </row>
    <row r="4" ht="20" customHeight="1" spans="2:2">
      <c r="B4" s="38" t="s">
        <v>261</v>
      </c>
    </row>
    <row r="5" ht="16" customHeight="1" spans="2:4">
      <c r="B5" s="16" t="s">
        <v>140</v>
      </c>
      <c r="C5" s="39">
        <v>0.07</v>
      </c>
      <c r="D5" s="40" t="s">
        <v>262</v>
      </c>
    </row>
    <row r="6" ht="16" customHeight="1" spans="2:4">
      <c r="B6" s="16" t="s">
        <v>142</v>
      </c>
      <c r="C6" s="39">
        <v>0.065</v>
      </c>
      <c r="D6" s="40" t="s">
        <v>263</v>
      </c>
    </row>
    <row r="7" ht="16" customHeight="1" spans="2:4">
      <c r="B7" s="16" t="s">
        <v>264</v>
      </c>
      <c r="C7" s="39">
        <v>0.9</v>
      </c>
      <c r="D7" s="40" t="s">
        <v>265</v>
      </c>
    </row>
    <row r="8" ht="16" customHeight="1" spans="2:4">
      <c r="B8" s="16" t="s">
        <v>266</v>
      </c>
      <c r="C8" s="41">
        <v>0.1285</v>
      </c>
      <c r="D8" s="40"/>
    </row>
    <row r="9" ht="8" customHeight="1"/>
    <row r="10" ht="20" customHeight="1" spans="2:2">
      <c r="B10" s="38" t="s">
        <v>267</v>
      </c>
    </row>
    <row r="11" ht="16" customHeight="1" spans="2:4">
      <c r="B11" s="16" t="s">
        <v>149</v>
      </c>
      <c r="C11" s="39">
        <v>0.085</v>
      </c>
      <c r="D11" s="40" t="s">
        <v>268</v>
      </c>
    </row>
    <row r="12" ht="16" customHeight="1" spans="2:4">
      <c r="B12" s="16" t="s">
        <v>130</v>
      </c>
      <c r="C12" s="39">
        <v>0.25</v>
      </c>
      <c r="D12" s="40" t="s">
        <v>269</v>
      </c>
    </row>
    <row r="13" ht="16" customHeight="1" spans="2:4">
      <c r="B13" s="16" t="s">
        <v>270</v>
      </c>
      <c r="C13" s="41">
        <v>0.0638</v>
      </c>
      <c r="D13" s="40"/>
    </row>
    <row r="14" ht="8" customHeight="1"/>
    <row r="15" ht="20" customHeight="1" spans="2:2">
      <c r="B15" s="38" t="s">
        <v>271</v>
      </c>
    </row>
    <row r="16" ht="16" customHeight="1" spans="2:4">
      <c r="B16" s="16" t="s">
        <v>272</v>
      </c>
      <c r="C16" s="42">
        <v>1500</v>
      </c>
      <c r="D16" s="40" t="s">
        <v>273</v>
      </c>
    </row>
    <row r="17" ht="16" customHeight="1" spans="2:4">
      <c r="B17" s="16" t="s">
        <v>274</v>
      </c>
      <c r="C17" s="42">
        <v>122518</v>
      </c>
      <c r="D17" s="40" t="s">
        <v>75</v>
      </c>
    </row>
    <row r="18" ht="16" customHeight="1" spans="2:4">
      <c r="B18" s="16" t="s">
        <v>275</v>
      </c>
      <c r="C18" s="43">
        <v>124018</v>
      </c>
      <c r="D18" s="40" t="e">
        <f>Debt+Equity</f>
        <v>#NAME?</v>
      </c>
    </row>
    <row r="19" ht="16" customHeight="1" spans="2:4">
      <c r="B19" s="16" t="s">
        <v>276</v>
      </c>
      <c r="C19" s="41">
        <v>0.012</v>
      </c>
      <c r="D19" s="40"/>
    </row>
    <row r="20" ht="16" customHeight="1" spans="2:4">
      <c r="B20" s="16" t="s">
        <v>277</v>
      </c>
      <c r="C20" s="41">
        <v>0.988</v>
      </c>
      <c r="D20" s="40"/>
    </row>
    <row r="21" ht="8" customHeight="1"/>
    <row r="22" ht="20" customHeight="1" spans="2:2">
      <c r="B22" s="38" t="s">
        <v>278</v>
      </c>
    </row>
    <row r="23" ht="16" customHeight="1" spans="2:4">
      <c r="B23" s="16" t="s">
        <v>279</v>
      </c>
      <c r="C23" s="41">
        <v>0.1274</v>
      </c>
      <c r="D23" s="40"/>
    </row>
    <row r="24" ht="16" customHeight="1" spans="2:4">
      <c r="B24" s="16" t="s">
        <v>280</v>
      </c>
      <c r="C24" s="39">
        <v>0.125</v>
      </c>
      <c r="D24" s="40" t="s">
        <v>281</v>
      </c>
    </row>
    <row r="25" ht="8" customHeight="1"/>
    <row r="26" ht="16" customHeight="1" spans="2:2">
      <c r="B26" s="44" t="s">
        <v>282</v>
      </c>
    </row>
    <row r="27" ht="18" customHeight="1" spans="2:7">
      <c r="B27" s="5" t="s">
        <v>283</v>
      </c>
      <c r="C27" s="45">
        <v>0.75</v>
      </c>
      <c r="D27" s="45">
        <v>0.85</v>
      </c>
      <c r="E27" s="45">
        <v>0.9</v>
      </c>
      <c r="F27" s="45">
        <v>1</v>
      </c>
      <c r="G27" s="45">
        <v>1.1</v>
      </c>
    </row>
    <row r="28" ht="16" customHeight="1" spans="2:7">
      <c r="B28" s="30">
        <v>0.055</v>
      </c>
      <c r="C28" s="46">
        <v>0.1113</v>
      </c>
      <c r="D28" s="47">
        <v>0.1168</v>
      </c>
      <c r="E28" s="46">
        <v>0.1195</v>
      </c>
      <c r="F28" s="47">
        <v>0.125</v>
      </c>
      <c r="G28" s="46">
        <v>0.1305</v>
      </c>
    </row>
    <row r="29" ht="16" customHeight="1" spans="2:7">
      <c r="B29" s="30">
        <v>0.06</v>
      </c>
      <c r="C29" s="47">
        <v>0.115</v>
      </c>
      <c r="D29" s="46">
        <v>0.121</v>
      </c>
      <c r="E29" s="47">
        <v>0.124</v>
      </c>
      <c r="F29" s="46">
        <v>0.13</v>
      </c>
      <c r="G29" s="47">
        <v>0.136</v>
      </c>
    </row>
    <row r="30" ht="16" customHeight="1" spans="2:7">
      <c r="B30" s="30">
        <v>0.065</v>
      </c>
      <c r="C30" s="46">
        <v>0.1188</v>
      </c>
      <c r="D30" s="47">
        <v>0.1253</v>
      </c>
      <c r="E30" s="48">
        <v>0.1285</v>
      </c>
      <c r="F30" s="47">
        <v>0.135</v>
      </c>
      <c r="G30" s="46">
        <v>0.1415</v>
      </c>
    </row>
    <row r="31" ht="16" customHeight="1" spans="2:7">
      <c r="B31" s="30">
        <v>0.07</v>
      </c>
      <c r="C31" s="47">
        <v>0.1225</v>
      </c>
      <c r="D31" s="46">
        <v>0.1295</v>
      </c>
      <c r="E31" s="47">
        <v>0.133</v>
      </c>
      <c r="F31" s="46">
        <v>0.14</v>
      </c>
      <c r="G31" s="47">
        <v>0.147</v>
      </c>
    </row>
    <row r="32" ht="16" customHeight="1" spans="2:7">
      <c r="B32" s="30">
        <v>0.075</v>
      </c>
      <c r="C32" s="46">
        <v>0.1263</v>
      </c>
      <c r="D32" s="47">
        <v>0.1338</v>
      </c>
      <c r="E32" s="46">
        <v>0.1375</v>
      </c>
      <c r="F32" s="47">
        <v>0.145</v>
      </c>
      <c r="G32" s="46">
        <v>0.1525</v>
      </c>
    </row>
  </sheetData>
  <mergeCells count="7">
    <mergeCell ref="B1:E1"/>
    <mergeCell ref="B2:E2"/>
    <mergeCell ref="B4:E4"/>
    <mergeCell ref="B10:E10"/>
    <mergeCell ref="B15:E15"/>
    <mergeCell ref="B22:E22"/>
    <mergeCell ref="B26:E2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6400"/>
  </sheetPr>
  <dimension ref="B1:I46"/>
  <sheetViews>
    <sheetView workbookViewId="0">
      <pane xSplit="2" ySplit="3" topLeftCell="C39" activePane="bottomRight" state="frozen"/>
      <selection/>
      <selection pane="topRight"/>
      <selection pane="bottomLeft"/>
      <selection pane="bottomRight" activeCell="C13" sqref="C13"/>
    </sheetView>
  </sheetViews>
  <sheetFormatPr defaultColWidth="9" defaultRowHeight="14.4"/>
  <cols>
    <col min="1" max="1" width="2" customWidth="1"/>
    <col min="2" max="2" width="28" customWidth="1"/>
    <col min="3" max="9" width="14" customWidth="1"/>
    <col min="10" max="10" width="2" customWidth="1"/>
  </cols>
  <sheetData>
    <row r="1" ht="28" customHeight="1" spans="2:2">
      <c r="B1" s="1" t="s">
        <v>284</v>
      </c>
    </row>
    <row r="2" ht="18" customHeight="1" spans="2:2">
      <c r="B2" s="2" t="s">
        <v>285</v>
      </c>
    </row>
    <row r="4" ht="20" customHeight="1" spans="2:2">
      <c r="B4" s="4" t="s">
        <v>286</v>
      </c>
    </row>
    <row r="5" ht="18" customHeight="1" spans="2:8">
      <c r="B5" s="28" t="s">
        <v>287</v>
      </c>
      <c r="C5" s="29">
        <v>0.105</v>
      </c>
      <c r="D5" s="29">
        <v>0.115</v>
      </c>
      <c r="E5" s="29">
        <v>0.125</v>
      </c>
      <c r="F5" s="29">
        <v>0.135</v>
      </c>
      <c r="G5" s="29">
        <v>0.145</v>
      </c>
      <c r="H5" s="29">
        <v>0.155</v>
      </c>
    </row>
    <row r="6" ht="18" customHeight="1" spans="2:8">
      <c r="B6" s="30">
        <v>0.04</v>
      </c>
      <c r="C6" s="31">
        <v>716</v>
      </c>
      <c r="D6" s="31">
        <v>632</v>
      </c>
      <c r="E6" s="31">
        <v>569</v>
      </c>
      <c r="F6" s="31">
        <v>519</v>
      </c>
      <c r="G6" s="31">
        <v>478</v>
      </c>
      <c r="H6" s="31">
        <v>445</v>
      </c>
    </row>
    <row r="7" ht="18" customHeight="1" spans="2:8">
      <c r="B7" s="30">
        <v>0.045</v>
      </c>
      <c r="C7" s="31">
        <v>757</v>
      </c>
      <c r="D7" s="31">
        <v>662</v>
      </c>
      <c r="E7" s="31">
        <v>591</v>
      </c>
      <c r="F7" s="31">
        <v>536</v>
      </c>
      <c r="G7" s="31">
        <v>492</v>
      </c>
      <c r="H7" s="31">
        <v>456</v>
      </c>
    </row>
    <row r="8" ht="18" customHeight="1" spans="2:8">
      <c r="B8" s="30">
        <v>0.05</v>
      </c>
      <c r="C8" s="31">
        <v>806</v>
      </c>
      <c r="D8" s="31">
        <v>696</v>
      </c>
      <c r="E8" s="31">
        <v>616</v>
      </c>
      <c r="F8" s="31">
        <v>555</v>
      </c>
      <c r="G8" s="31">
        <v>506</v>
      </c>
      <c r="H8" s="31">
        <v>467</v>
      </c>
    </row>
    <row r="9" ht="18" customHeight="1" spans="2:8">
      <c r="B9" s="30">
        <v>0.055</v>
      </c>
      <c r="C9" s="31">
        <v>864</v>
      </c>
      <c r="D9" s="31">
        <v>736</v>
      </c>
      <c r="E9" s="31">
        <v>644</v>
      </c>
      <c r="F9" s="31">
        <v>576</v>
      </c>
      <c r="G9" s="31">
        <v>523</v>
      </c>
      <c r="H9" s="31">
        <v>480</v>
      </c>
    </row>
    <row r="10" ht="18" customHeight="1" spans="2:8">
      <c r="B10" s="30">
        <v>0.06</v>
      </c>
      <c r="C10" s="31">
        <v>935</v>
      </c>
      <c r="D10" s="31">
        <v>783</v>
      </c>
      <c r="E10" s="31">
        <v>677</v>
      </c>
      <c r="F10" s="31">
        <v>600</v>
      </c>
      <c r="G10" s="31">
        <v>541</v>
      </c>
      <c r="H10" s="31">
        <v>494</v>
      </c>
    </row>
    <row r="11" ht="18" customHeight="1" spans="2:8">
      <c r="B11" s="30">
        <v>0.065</v>
      </c>
      <c r="C11" s="31">
        <v>1024</v>
      </c>
      <c r="D11" s="31">
        <v>839</v>
      </c>
      <c r="E11" s="31">
        <v>715</v>
      </c>
      <c r="F11" s="31">
        <v>627</v>
      </c>
      <c r="G11" s="31">
        <v>561</v>
      </c>
      <c r="H11" s="31">
        <v>510</v>
      </c>
    </row>
    <row r="16" ht="20" customHeight="1" spans="2:2">
      <c r="B16" s="4" t="s">
        <v>288</v>
      </c>
    </row>
    <row r="17" ht="18" customHeight="1" spans="2:8">
      <c r="B17" s="28" t="s">
        <v>289</v>
      </c>
      <c r="C17" s="29">
        <v>0.105</v>
      </c>
      <c r="D17" s="29">
        <v>0.115</v>
      </c>
      <c r="E17" s="29">
        <v>0.125</v>
      </c>
      <c r="F17" s="29">
        <v>0.135</v>
      </c>
      <c r="G17" s="29">
        <v>0.145</v>
      </c>
      <c r="H17" s="29">
        <v>0.155</v>
      </c>
    </row>
    <row r="18" ht="18" customHeight="1" spans="2:8">
      <c r="B18" s="32">
        <v>20</v>
      </c>
      <c r="C18" s="31">
        <v>1507</v>
      </c>
      <c r="D18" s="31">
        <v>1448</v>
      </c>
      <c r="E18" s="31">
        <v>1393</v>
      </c>
      <c r="F18" s="31">
        <v>1340</v>
      </c>
      <c r="G18" s="31">
        <v>1289</v>
      </c>
      <c r="H18" s="31">
        <v>1242</v>
      </c>
    </row>
    <row r="19" ht="18" customHeight="1" spans="2:8">
      <c r="B19" s="32">
        <v>24</v>
      </c>
      <c r="C19" s="31">
        <v>1759</v>
      </c>
      <c r="D19" s="31">
        <v>1689</v>
      </c>
      <c r="E19" s="31">
        <v>1622</v>
      </c>
      <c r="F19" s="31">
        <v>1559</v>
      </c>
      <c r="G19" s="31">
        <v>1500</v>
      </c>
      <c r="H19" s="31">
        <v>1443</v>
      </c>
    </row>
    <row r="20" ht="18" customHeight="1" spans="2:8">
      <c r="B20" s="32">
        <v>28</v>
      </c>
      <c r="C20" s="31">
        <v>2010</v>
      </c>
      <c r="D20" s="31">
        <v>1929</v>
      </c>
      <c r="E20" s="31">
        <v>1852</v>
      </c>
      <c r="F20" s="31">
        <v>1779</v>
      </c>
      <c r="G20" s="31">
        <v>1710</v>
      </c>
      <c r="H20" s="31">
        <v>1644</v>
      </c>
    </row>
    <row r="21" ht="18" customHeight="1" spans="2:8">
      <c r="B21" s="32">
        <v>32</v>
      </c>
      <c r="C21" s="31">
        <v>2261</v>
      </c>
      <c r="D21" s="31">
        <v>2169</v>
      </c>
      <c r="E21" s="31">
        <v>2082</v>
      </c>
      <c r="F21" s="31">
        <v>1999</v>
      </c>
      <c r="G21" s="31">
        <v>1920</v>
      </c>
      <c r="H21" s="31">
        <v>1846</v>
      </c>
    </row>
    <row r="22" ht="18" customHeight="1" spans="2:8">
      <c r="B22" s="32">
        <v>36</v>
      </c>
      <c r="C22" s="33">
        <v>2513</v>
      </c>
      <c r="D22" s="33">
        <v>2409</v>
      </c>
      <c r="E22" s="31">
        <v>2312</v>
      </c>
      <c r="F22" s="31">
        <v>2219</v>
      </c>
      <c r="G22" s="31">
        <v>2131</v>
      </c>
      <c r="H22" s="31">
        <v>2047</v>
      </c>
    </row>
    <row r="23" ht="18" customHeight="1" spans="2:8">
      <c r="B23" s="32">
        <v>40</v>
      </c>
      <c r="C23" s="33">
        <v>2764</v>
      </c>
      <c r="D23" s="33">
        <v>2650</v>
      </c>
      <c r="E23" s="33">
        <v>2541</v>
      </c>
      <c r="F23" s="33">
        <v>2439</v>
      </c>
      <c r="G23" s="33">
        <v>2341</v>
      </c>
      <c r="H23" s="31">
        <v>2249</v>
      </c>
    </row>
    <row r="28" ht="20" customHeight="1" spans="2:2">
      <c r="B28" s="4" t="s">
        <v>290</v>
      </c>
    </row>
    <row r="29" ht="18" customHeight="1" spans="2:8">
      <c r="B29" s="28" t="s">
        <v>291</v>
      </c>
      <c r="C29" s="29">
        <v>0.08</v>
      </c>
      <c r="D29" s="29">
        <v>0.1</v>
      </c>
      <c r="E29" s="29">
        <v>0.12</v>
      </c>
      <c r="F29" s="29">
        <v>0.14</v>
      </c>
      <c r="G29" s="29">
        <v>0.16</v>
      </c>
      <c r="H29" s="29">
        <v>0.18</v>
      </c>
    </row>
    <row r="30" ht="18" customHeight="1" spans="2:8">
      <c r="B30" s="30">
        <v>0.09</v>
      </c>
      <c r="C30" s="31">
        <v>1160</v>
      </c>
      <c r="D30" s="31">
        <v>1251</v>
      </c>
      <c r="E30" s="31">
        <v>1349</v>
      </c>
      <c r="F30" s="31">
        <v>1455</v>
      </c>
      <c r="G30" s="31">
        <v>1568</v>
      </c>
      <c r="H30" s="31">
        <v>1688</v>
      </c>
    </row>
    <row r="31" ht="18" customHeight="1" spans="2:8">
      <c r="B31" s="30">
        <v>0.1</v>
      </c>
      <c r="C31" s="31">
        <v>1283</v>
      </c>
      <c r="D31" s="31">
        <v>1386</v>
      </c>
      <c r="E31" s="31">
        <v>1496</v>
      </c>
      <c r="F31" s="31">
        <v>1614</v>
      </c>
      <c r="G31" s="31">
        <v>1741</v>
      </c>
      <c r="H31" s="31">
        <v>1877</v>
      </c>
    </row>
    <row r="32" ht="18" customHeight="1" spans="2:8">
      <c r="B32" s="30">
        <v>0.11</v>
      </c>
      <c r="C32" s="31">
        <v>1407</v>
      </c>
      <c r="D32" s="31">
        <v>1521</v>
      </c>
      <c r="E32" s="31">
        <v>1643</v>
      </c>
      <c r="F32" s="31">
        <v>1774</v>
      </c>
      <c r="G32" s="31">
        <v>1915</v>
      </c>
      <c r="H32" s="31">
        <v>2065</v>
      </c>
    </row>
    <row r="33" ht="18" customHeight="1" spans="2:8">
      <c r="B33" s="30">
        <v>0.12</v>
      </c>
      <c r="C33" s="31">
        <v>1530</v>
      </c>
      <c r="D33" s="31">
        <v>1656</v>
      </c>
      <c r="E33" s="31">
        <v>1790</v>
      </c>
      <c r="F33" s="31">
        <v>1934</v>
      </c>
      <c r="G33" s="31">
        <v>2089</v>
      </c>
      <c r="H33" s="31">
        <v>2254</v>
      </c>
    </row>
    <row r="34" ht="18" customHeight="1" spans="2:8">
      <c r="B34" s="30">
        <v>0.13</v>
      </c>
      <c r="C34" s="31">
        <v>1654</v>
      </c>
      <c r="D34" s="31">
        <v>1790</v>
      </c>
      <c r="E34" s="31">
        <v>1937</v>
      </c>
      <c r="F34" s="31">
        <v>2094</v>
      </c>
      <c r="G34" s="31">
        <v>2262</v>
      </c>
      <c r="H34" s="33">
        <v>2443</v>
      </c>
    </row>
    <row r="35" ht="18" customHeight="1" spans="2:8">
      <c r="B35" s="30">
        <v>0.14</v>
      </c>
      <c r="C35" s="31">
        <v>1778</v>
      </c>
      <c r="D35" s="31">
        <v>1925</v>
      </c>
      <c r="E35" s="31">
        <v>2084</v>
      </c>
      <c r="F35" s="31">
        <v>2254</v>
      </c>
      <c r="G35" s="33">
        <v>2436</v>
      </c>
      <c r="H35" s="33">
        <v>2631</v>
      </c>
    </row>
    <row r="42" ht="18" customHeight="1" spans="2:2">
      <c r="B42" s="18" t="s">
        <v>292</v>
      </c>
    </row>
    <row r="43" ht="16" customHeight="1" spans="2:2">
      <c r="B43" s="34" t="s">
        <v>293</v>
      </c>
    </row>
    <row r="44" ht="16" customHeight="1" spans="2:2">
      <c r="B44" s="35" t="s">
        <v>294</v>
      </c>
    </row>
    <row r="45" ht="16" customHeight="1" spans="2:2">
      <c r="B45" s="36" t="s">
        <v>295</v>
      </c>
    </row>
    <row r="46" ht="16" customHeight="1" spans="2:2">
      <c r="B46" s="37" t="s">
        <v>296</v>
      </c>
    </row>
  </sheetData>
  <mergeCells count="10">
    <mergeCell ref="B1:I1"/>
    <mergeCell ref="B2:I2"/>
    <mergeCell ref="B4:H4"/>
    <mergeCell ref="B16:H16"/>
    <mergeCell ref="B28:H28"/>
    <mergeCell ref="B42:I42"/>
    <mergeCell ref="B43:D43"/>
    <mergeCell ref="B44:D44"/>
    <mergeCell ref="B45:D45"/>
    <mergeCell ref="B46:D4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0000"/>
  </sheetPr>
  <dimension ref="B1:E39"/>
  <sheetViews>
    <sheetView topLeftCell="A23" workbookViewId="0">
      <selection activeCell="I6" sqref="I6"/>
    </sheetView>
  </sheetViews>
  <sheetFormatPr defaultColWidth="9" defaultRowHeight="14.4" outlineLevelCol="4"/>
  <cols>
    <col min="1" max="1" width="2" customWidth="1"/>
    <col min="2" max="2" width="40" customWidth="1"/>
    <col min="3" max="5" width="20" customWidth="1"/>
    <col min="6" max="6" width="2" customWidth="1"/>
  </cols>
  <sheetData>
    <row r="1" ht="28" customHeight="1" spans="2:2">
      <c r="B1" s="1" t="s">
        <v>297</v>
      </c>
    </row>
    <row r="2" ht="18" customHeight="1" spans="2:2">
      <c r="B2" s="2" t="s">
        <v>298</v>
      </c>
    </row>
    <row r="4" ht="28" customHeight="1" spans="2:2">
      <c r="B4" s="3" t="s">
        <v>299</v>
      </c>
    </row>
    <row r="5" ht="28" customHeight="1"/>
    <row r="6" ht="28" customHeight="1"/>
    <row r="7" ht="28" customHeight="1"/>
    <row r="9" ht="20" customHeight="1" spans="2:2">
      <c r="B9" s="4" t="s">
        <v>300</v>
      </c>
    </row>
    <row r="10" ht="18" customHeight="1" spans="2:5">
      <c r="B10" s="5" t="s">
        <v>301</v>
      </c>
      <c r="C10" s="5" t="s">
        <v>302</v>
      </c>
      <c r="D10" s="5" t="s">
        <v>303</v>
      </c>
      <c r="E10" s="5" t="s">
        <v>304</v>
      </c>
    </row>
    <row r="11" ht="20" customHeight="1" spans="2:5">
      <c r="B11" s="6" t="s">
        <v>305</v>
      </c>
      <c r="C11" s="7" t="s">
        <v>306</v>
      </c>
      <c r="D11" s="8" t="s">
        <v>40</v>
      </c>
      <c r="E11" s="8" t="s">
        <v>307</v>
      </c>
    </row>
    <row r="12" ht="20" customHeight="1" spans="2:5">
      <c r="B12" s="9" t="s">
        <v>308</v>
      </c>
      <c r="C12" s="10" t="s">
        <v>309</v>
      </c>
      <c r="D12" s="11" t="s">
        <v>41</v>
      </c>
      <c r="E12" s="11" t="s">
        <v>310</v>
      </c>
    </row>
    <row r="13" ht="20" customHeight="1" spans="2:5">
      <c r="B13" s="12" t="s">
        <v>311</v>
      </c>
      <c r="C13" s="13" t="s">
        <v>312</v>
      </c>
      <c r="D13" s="14" t="s">
        <v>37</v>
      </c>
      <c r="E13" s="14" t="s">
        <v>313</v>
      </c>
    </row>
    <row r="14" ht="20" customHeight="1" spans="2:5">
      <c r="B14" s="9" t="s">
        <v>314</v>
      </c>
      <c r="C14" s="10" t="s">
        <v>315</v>
      </c>
      <c r="D14" s="11" t="s">
        <v>32</v>
      </c>
      <c r="E14" s="11" t="s">
        <v>316</v>
      </c>
    </row>
    <row r="16" ht="20" customHeight="1" spans="2:2">
      <c r="B16" s="15" t="s">
        <v>317</v>
      </c>
    </row>
    <row r="17" ht="16" customHeight="1" spans="2:3">
      <c r="B17" s="16" t="s">
        <v>318</v>
      </c>
      <c r="C17" s="17" t="s">
        <v>319</v>
      </c>
    </row>
    <row r="18" ht="16" customHeight="1" spans="2:3">
      <c r="B18" s="16" t="s">
        <v>320</v>
      </c>
      <c r="C18" s="17" t="s">
        <v>321</v>
      </c>
    </row>
    <row r="19" ht="16" customHeight="1" spans="2:3">
      <c r="B19" s="16" t="s">
        <v>44</v>
      </c>
      <c r="C19" s="17" t="s">
        <v>322</v>
      </c>
    </row>
    <row r="20" ht="16" customHeight="1" spans="2:3">
      <c r="B20" s="16" t="s">
        <v>323</v>
      </c>
      <c r="C20" s="17" t="s">
        <v>324</v>
      </c>
    </row>
    <row r="21" ht="16" customHeight="1" spans="2:3">
      <c r="B21" s="16" t="s">
        <v>325</v>
      </c>
      <c r="C21" s="17" t="s">
        <v>326</v>
      </c>
    </row>
    <row r="22" ht="16" customHeight="1" spans="2:3">
      <c r="B22" s="16" t="s">
        <v>327</v>
      </c>
      <c r="C22" s="17" t="s">
        <v>328</v>
      </c>
    </row>
    <row r="24" ht="20" customHeight="1" spans="2:2">
      <c r="B24" s="18" t="s">
        <v>329</v>
      </c>
    </row>
    <row r="25" ht="18" customHeight="1" spans="2:5">
      <c r="B25" s="5" t="s">
        <v>330</v>
      </c>
      <c r="C25" s="5" t="s">
        <v>331</v>
      </c>
      <c r="D25" s="5" t="s">
        <v>332</v>
      </c>
      <c r="E25" s="5" t="s">
        <v>333</v>
      </c>
    </row>
    <row r="26" ht="18" customHeight="1" spans="2:5">
      <c r="B26" s="19" t="s">
        <v>334</v>
      </c>
      <c r="C26" s="20" t="s">
        <v>335</v>
      </c>
      <c r="D26" s="20" t="s">
        <v>336</v>
      </c>
      <c r="E26" s="20" t="s">
        <v>337</v>
      </c>
    </row>
    <row r="27" ht="18" customHeight="1" spans="2:5">
      <c r="B27" s="21" t="s">
        <v>338</v>
      </c>
      <c r="C27" s="22" t="s">
        <v>339</v>
      </c>
      <c r="D27" s="23" t="s">
        <v>340</v>
      </c>
      <c r="E27" s="22" t="s">
        <v>341</v>
      </c>
    </row>
    <row r="28" ht="18" customHeight="1" spans="2:5">
      <c r="B28" s="19" t="s">
        <v>342</v>
      </c>
      <c r="C28" s="20" t="s">
        <v>343</v>
      </c>
      <c r="D28" s="20" t="s">
        <v>336</v>
      </c>
      <c r="E28" s="20" t="s">
        <v>344</v>
      </c>
    </row>
    <row r="29" ht="18" customHeight="1" spans="2:5">
      <c r="B29" s="21" t="s">
        <v>345</v>
      </c>
      <c r="C29" s="22" t="s">
        <v>346</v>
      </c>
      <c r="D29" s="22" t="s">
        <v>347</v>
      </c>
      <c r="E29" s="22" t="s">
        <v>348</v>
      </c>
    </row>
    <row r="30" ht="18" customHeight="1" spans="2:5">
      <c r="B30" s="19" t="s">
        <v>349</v>
      </c>
      <c r="C30" s="20" t="s">
        <v>350</v>
      </c>
      <c r="D30" s="20" t="s">
        <v>351</v>
      </c>
      <c r="E30" s="20" t="s">
        <v>352</v>
      </c>
    </row>
    <row r="31" ht="18" customHeight="1" spans="2:5">
      <c r="B31" s="21" t="s">
        <v>353</v>
      </c>
      <c r="C31" s="22" t="s">
        <v>354</v>
      </c>
      <c r="D31" s="22" t="s">
        <v>351</v>
      </c>
      <c r="E31" s="22" t="s">
        <v>355</v>
      </c>
    </row>
    <row r="32" ht="18" customHeight="1" spans="2:5">
      <c r="B32" s="19" t="s">
        <v>356</v>
      </c>
      <c r="C32" s="20" t="s">
        <v>357</v>
      </c>
      <c r="D32" s="20" t="s">
        <v>336</v>
      </c>
      <c r="E32" s="20" t="s">
        <v>358</v>
      </c>
    </row>
    <row r="33" ht="18" customHeight="1" spans="2:5">
      <c r="B33" s="21" t="s">
        <v>359</v>
      </c>
      <c r="C33" s="22" t="s">
        <v>360</v>
      </c>
      <c r="D33" s="22" t="s">
        <v>336</v>
      </c>
      <c r="E33" s="22" t="s">
        <v>361</v>
      </c>
    </row>
    <row r="34" ht="18" customHeight="1" spans="2:5">
      <c r="B34" s="19" t="s">
        <v>362</v>
      </c>
      <c r="C34" s="24" t="s">
        <v>363</v>
      </c>
      <c r="D34" s="20" t="s">
        <v>351</v>
      </c>
      <c r="E34" s="20" t="s">
        <v>355</v>
      </c>
    </row>
    <row r="35" ht="18" customHeight="1" spans="2:5">
      <c r="B35" s="25" t="s">
        <v>364</v>
      </c>
      <c r="C35" s="26" t="s">
        <v>365</v>
      </c>
      <c r="D35" s="26" t="s">
        <v>336</v>
      </c>
      <c r="E35" s="26" t="s">
        <v>366</v>
      </c>
    </row>
    <row r="37" ht="16" customHeight="1" spans="2:2">
      <c r="B37" s="27" t="s">
        <v>367</v>
      </c>
    </row>
    <row r="38" ht="16" customHeight="1"/>
    <row r="39" ht="16" customHeight="1"/>
  </sheetData>
  <mergeCells count="13">
    <mergeCell ref="B1:E1"/>
    <mergeCell ref="B2:E2"/>
    <mergeCell ref="B9:E9"/>
    <mergeCell ref="B16:E16"/>
    <mergeCell ref="C17:E17"/>
    <mergeCell ref="C18:E18"/>
    <mergeCell ref="C19:E19"/>
    <mergeCell ref="C20:E20"/>
    <mergeCell ref="C21:E21"/>
    <mergeCell ref="C22:E22"/>
    <mergeCell ref="B24:E24"/>
    <mergeCell ref="B4:E7"/>
    <mergeCell ref="B37:E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</vt:lpstr>
      <vt:lpstr>Assumptions</vt:lpstr>
      <vt:lpstr>DCF Model</vt:lpstr>
      <vt:lpstr>WACC</vt:lpstr>
      <vt:lpstr>Sensitivity</vt:lpstr>
      <vt:lpstr>Verdict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yatharth bhatt</cp:lastModifiedBy>
  <dcterms:created xsi:type="dcterms:W3CDTF">2026-03-03T13:16:00Z</dcterms:created>
  <dcterms:modified xsi:type="dcterms:W3CDTF">2026-03-03T13:38:28Z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3F685BA933994BE2AE388087A050CEF9_12</vt:lpwstr>
  </property>
  <property fmtid="{D5CDD505-2E9C-101B-9397-08002B2CF9AE}" pid="3" name="KSOProductBuildVer">
    <vt:lpwstr>1033-12.2.0.23196</vt:lpwstr>
  </property>
</Properties>
</file>